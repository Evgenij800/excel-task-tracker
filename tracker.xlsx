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Справочники" sheetId="2" state="visible" r:id="rId2"/>
    <sheet xmlns:r="http://schemas.openxmlformats.org/officeDocument/2006/relationships" name="Задачи" sheetId="3" state="visible" r:id="rId3"/>
  </sheets>
  <definedNames>
    <definedName name="_xlnm._FilterDatabase" localSheetId="2" hidden="1">'Задачи'!$A$1:$G$15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B4F72"/>
      <sz val="14"/>
    </font>
    <font>
      <name val="Segoe UI"/>
      <b val="1"/>
      <sz val="10"/>
    </font>
  </fonts>
  <fills count="8">
    <fill>
      <patternFill/>
    </fill>
    <fill>
      <patternFill patternType="gray125"/>
    </fill>
    <fill>
      <patternFill patternType="solid">
        <fgColor rgb="001B4F72"/>
        <bgColor rgb="001B4F72"/>
      </patternFill>
    </fill>
    <fill>
      <patternFill patternType="solid">
        <fgColor rgb="00F9FBFB"/>
        <bgColor rgb="00F9FBFB"/>
      </patternFill>
    </fill>
    <fill>
      <patternFill patternType="solid">
        <fgColor rgb="00FFFFFF"/>
        <bgColor rgb="00FFFFFF"/>
      </patternFill>
    </fill>
    <fill>
      <patternFill patternType="solid">
        <fgColor rgb="00EAECEE"/>
        <bgColor rgb="00EAECEE"/>
      </patternFill>
    </fill>
    <fill>
      <patternFill patternType="solid">
        <fgColor rgb="00F2F4F4"/>
        <bgColor rgb="00F2F4F4"/>
      </patternFill>
    </fill>
    <fill>
      <patternFill patternType="solid">
        <fgColor rgb="002E86C1"/>
        <bgColor rgb="002E86C1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/>
      <right/>
      <top style="thin">
        <color rgb="00D3D3D3"/>
      </top>
      <bottom/>
      <diagonal/>
    </border>
    <border>
      <left/>
      <right style="thin">
        <color rgb="00D3D3D3"/>
      </right>
      <top style="thin">
        <color rgb="00D3D3D3"/>
      </top>
      <bottom/>
      <diagonal/>
    </border>
    <border>
      <left/>
      <right style="thin">
        <color rgb="00D3D3D3"/>
      </right>
      <top style="thin">
        <color rgb="00D3D3D3"/>
      </top>
      <bottom style="thin">
        <color rgb="00D3D3D3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1" fillId="7" borderId="0" applyAlignment="1" pivotButton="0" quotePrefix="0" xfId="0">
      <alignment horizontal="left" vertical="center"/>
    </xf>
    <xf numFmtId="0" fontId="1" fillId="7" borderId="0" applyAlignment="1" pivotButton="0" quotePrefix="0" xfId="0">
      <alignment horizontal="center" vertical="center"/>
    </xf>
    <xf numFmtId="0" fontId="2" fillId="0" borderId="1" pivotButton="0" quotePrefix="0" xfId="0"/>
    <xf numFmtId="0" fontId="6" fillId="0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4" fontId="2" fillId="4" borderId="1" applyAlignment="1" pivotButton="0" quotePrefix="0" xfId="0">
      <alignment horizontal="center" vertical="center"/>
    </xf>
    <xf numFmtId="0" fontId="0" fillId="0" borderId="4" pivotButton="0" quotePrefix="0" xfId="0"/>
    <xf numFmtId="164" fontId="2" fillId="3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900C3F"/>
        <sz val="10"/>
      </font>
      <fill>
        <patternFill patternType="solid">
          <fgColor rgb="00FADBD8"/>
          <bgColor rgb="00FADBD8"/>
        </patternFill>
      </fill>
    </dxf>
    <dxf>
      <font>
        <name val="Segoe UI"/>
        <b val="1"/>
        <color rgb="00145A32"/>
        <sz val="10"/>
      </font>
      <fill>
        <patternFill patternType="solid">
          <fgColor rgb="00D4EFDF"/>
          <bgColor rgb="00D4EF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  <col width="16" customWidth="1" min="7" max="7"/>
    <col width="12" customWidth="1" min="8" max="8"/>
  </cols>
  <sheetData>
    <row r="1" ht="35" customHeight="1">
      <c r="A1" s="1" t="inlineStr">
        <is>
          <t>ПАНЕЛЬ УПРАВЛЕНИЯ (DASHBOARD) - ТРЕКЕР ЗАДАЧ</t>
        </is>
      </c>
    </row>
    <row r="3">
      <c r="A3" s="2" t="inlineStr">
        <is>
          <t>Всего задач</t>
        </is>
      </c>
      <c r="B3" s="18" t="n"/>
      <c r="C3" s="2" t="inlineStr">
        <is>
          <t>Выполнено</t>
        </is>
      </c>
      <c r="D3" s="18" t="n"/>
      <c r="E3" s="2" t="inlineStr">
        <is>
          <t>В работе</t>
        </is>
      </c>
      <c r="F3" s="18" t="n"/>
      <c r="G3" s="2" t="inlineStr">
        <is>
          <t>Просрочено</t>
        </is>
      </c>
      <c r="H3" s="18" t="n"/>
    </row>
    <row r="4">
      <c r="A4" s="4">
        <f>COUNTA(Задачи!B:B)-1</f>
        <v/>
      </c>
      <c r="B4" s="18" t="n"/>
      <c r="C4" s="4">
        <f>COUNTIF(Задачи!F:F, "Выполнено")</f>
        <v/>
      </c>
      <c r="D4" s="18" t="n"/>
      <c r="E4" s="4">
        <f>COUNTIF(Задачи!F:F, "В работе")</f>
        <v/>
      </c>
      <c r="F4" s="18" t="n"/>
      <c r="G4" s="4">
        <f>COUNTIFS(Задачи!F:F, "&lt;&gt;Выполнено", Задачи!G:G, "&lt;"&amp;TODAY())</f>
        <v/>
      </c>
      <c r="H4" s="18" t="n"/>
    </row>
    <row r="7">
      <c r="A7" s="5" t="inlineStr">
        <is>
          <t>Статус задачи</t>
        </is>
      </c>
      <c r="B7" s="6" t="inlineStr">
        <is>
          <t>Количество</t>
        </is>
      </c>
      <c r="D7" s="5" t="inlineStr">
        <is>
          <t>Категория</t>
        </is>
      </c>
      <c r="E7" s="6" t="inlineStr">
        <is>
          <t>Количество</t>
        </is>
      </c>
    </row>
    <row r="8">
      <c r="A8" s="7" t="inlineStr">
        <is>
          <t>К выполнению</t>
        </is>
      </c>
      <c r="B8" s="8">
        <f>COUNTIF(Задачи!$F:$F, A8)</f>
        <v/>
      </c>
      <c r="D8" s="7" t="inlineStr">
        <is>
          <t>Разработка</t>
        </is>
      </c>
      <c r="E8" s="8">
        <f>COUNTIF(Задачи!$C:$C, D8)</f>
        <v/>
      </c>
    </row>
    <row r="9">
      <c r="A9" s="7" t="inlineStr">
        <is>
          <t>В работе</t>
        </is>
      </c>
      <c r="B9" s="8">
        <f>COUNTIF(Задачи!$F:$F, A9)</f>
        <v/>
      </c>
      <c r="D9" s="7" t="inlineStr">
        <is>
          <t>Маркетинг</t>
        </is>
      </c>
      <c r="E9" s="8">
        <f>COUNTIF(Задачи!$C:$C, D9)</f>
        <v/>
      </c>
    </row>
    <row r="10">
      <c r="A10" s="7" t="inlineStr">
        <is>
          <t>На проверке</t>
        </is>
      </c>
      <c r="B10" s="8">
        <f>COUNTIF(Задачи!$F:$F, A10)</f>
        <v/>
      </c>
      <c r="D10" s="7" t="inlineStr">
        <is>
          <t>Дизайн</t>
        </is>
      </c>
      <c r="E10" s="8">
        <f>COUNTIF(Задачи!$C:$C, D10)</f>
        <v/>
      </c>
    </row>
    <row r="11">
      <c r="A11" s="7" t="inlineStr">
        <is>
          <t>Выполнено</t>
        </is>
      </c>
      <c r="B11" s="8">
        <f>COUNTIF(Задачи!$F:$F, A11)</f>
        <v/>
      </c>
      <c r="D11" s="7" t="inlineStr">
        <is>
          <t>Аналитика</t>
        </is>
      </c>
      <c r="E11" s="8">
        <f>COUNTIF(Задачи!$C:$C, D11)</f>
        <v/>
      </c>
    </row>
    <row r="12">
      <c r="A12" s="7" t="inlineStr">
        <is>
          <t>Отменено</t>
        </is>
      </c>
      <c r="B12" s="8">
        <f>COUNTIF(Задачи!$F:$F, A12)</f>
        <v/>
      </c>
      <c r="D12" s="7" t="inlineStr">
        <is>
          <t>Тестирование</t>
        </is>
      </c>
      <c r="E12" s="8">
        <f>COUNTIF(Задачи!$C:$C, D12)</f>
        <v/>
      </c>
    </row>
    <row r="13">
      <c r="D13" s="7" t="inlineStr">
        <is>
          <t>DevOps</t>
        </is>
      </c>
      <c r="E13" s="8">
        <f>COUNTIF(Задачи!$C:$C, D13)</f>
        <v/>
      </c>
    </row>
    <row r="15">
      <c r="A15" s="5" t="inlineStr">
        <is>
          <t>Проект</t>
        </is>
      </c>
      <c r="B15" s="6" t="inlineStr">
        <is>
          <t>Количество</t>
        </is>
      </c>
    </row>
    <row r="16">
      <c r="A16" s="7" t="inlineStr">
        <is>
          <t>Alpha CRM</t>
        </is>
      </c>
      <c r="B16" s="8">
        <f>COUNTIF(Задачи!$D:$D, A16)</f>
        <v/>
      </c>
    </row>
    <row r="17">
      <c r="A17" s="7" t="inlineStr">
        <is>
          <t>Mobile App v2.0</t>
        </is>
      </c>
      <c r="B17" s="8">
        <f>COUNTIF(Задачи!$D:$D, A17)</f>
        <v/>
      </c>
    </row>
    <row r="18">
      <c r="A18" s="7" t="inlineStr">
        <is>
          <t>Website Redesign</t>
        </is>
      </c>
      <c r="B18" s="8">
        <f>COUNTIF(Задачи!$D:$D, A18)</f>
        <v/>
      </c>
    </row>
    <row r="19">
      <c r="A19" s="7" t="inlineStr">
        <is>
          <t>Marketing Q3</t>
        </is>
      </c>
      <c r="B19" s="8">
        <f>COUNTIF(Задачи!$D:$D, A19)</f>
        <v/>
      </c>
    </row>
    <row r="20">
      <c r="A20" s="7" t="inlineStr">
        <is>
          <t>Security Audit</t>
        </is>
      </c>
      <c r="B20" s="8">
        <f>COUNTIF(Задачи!$D:$D, A20)</f>
        <v/>
      </c>
    </row>
  </sheetData>
  <mergeCells count="9">
    <mergeCell ref="A4:B4"/>
    <mergeCell ref="A1:D1"/>
    <mergeCell ref="E4:F4"/>
    <mergeCell ref="G4:H4"/>
    <mergeCell ref="C3:D3"/>
    <mergeCell ref="A3:B3"/>
    <mergeCell ref="G3:H3"/>
    <mergeCell ref="E3:F3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21" customWidth="1" min="2" max="2"/>
    <col width="29" customWidth="1" min="3" max="3"/>
    <col width="20" customWidth="1" min="4" max="4"/>
  </cols>
  <sheetData>
    <row r="1">
      <c r="A1" s="9" t="inlineStr">
        <is>
          <t>Категории (Category)</t>
        </is>
      </c>
      <c r="B1" s="9" t="inlineStr">
        <is>
          <t>Проекты (Project)</t>
        </is>
      </c>
      <c r="C1" s="9" t="inlineStr">
        <is>
          <t>Исполнители (Responsible)</t>
        </is>
      </c>
      <c r="D1" s="9" t="inlineStr">
        <is>
          <t>Статусы (Status)</t>
        </is>
      </c>
    </row>
    <row r="2">
      <c r="A2" s="10" t="inlineStr">
        <is>
          <t>Разработка</t>
        </is>
      </c>
      <c r="B2" s="10" t="inlineStr">
        <is>
          <t>Alpha CRM</t>
        </is>
      </c>
      <c r="C2" s="10" t="inlineStr">
        <is>
          <t>Иванов И.</t>
        </is>
      </c>
      <c r="D2" s="10" t="inlineStr">
        <is>
          <t>К выполнению</t>
        </is>
      </c>
    </row>
    <row r="3">
      <c r="A3" s="10" t="inlineStr">
        <is>
          <t>Маркетинг</t>
        </is>
      </c>
      <c r="B3" s="10" t="inlineStr">
        <is>
          <t>Mobile App v2.0</t>
        </is>
      </c>
      <c r="C3" s="10" t="inlineStr">
        <is>
          <t>Петров П.</t>
        </is>
      </c>
      <c r="D3" s="10" t="inlineStr">
        <is>
          <t>В работе</t>
        </is>
      </c>
    </row>
    <row r="4">
      <c r="A4" s="10" t="inlineStr">
        <is>
          <t>Дизайн</t>
        </is>
      </c>
      <c r="B4" s="10" t="inlineStr">
        <is>
          <t>Website Redesign</t>
        </is>
      </c>
      <c r="C4" s="10" t="inlineStr">
        <is>
          <t>Сидорова А.</t>
        </is>
      </c>
      <c r="D4" s="10" t="inlineStr">
        <is>
          <t>На проверке</t>
        </is>
      </c>
    </row>
    <row r="5">
      <c r="A5" s="10" t="inlineStr">
        <is>
          <t>Аналитика</t>
        </is>
      </c>
      <c r="B5" s="10" t="inlineStr">
        <is>
          <t>Marketing Q3</t>
        </is>
      </c>
      <c r="C5" s="10" t="inlineStr">
        <is>
          <t>Смирнов К.</t>
        </is>
      </c>
      <c r="D5" s="10" t="inlineStr">
        <is>
          <t>Выполнено</t>
        </is>
      </c>
    </row>
    <row r="6">
      <c r="A6" s="10" t="inlineStr">
        <is>
          <t>Тестирование</t>
        </is>
      </c>
      <c r="B6" s="10" t="inlineStr">
        <is>
          <t>Security Audit</t>
        </is>
      </c>
      <c r="C6" s="10" t="inlineStr">
        <is>
          <t>Васильева Е.</t>
        </is>
      </c>
      <c r="D6" s="10" t="inlineStr">
        <is>
          <t>Отменено</t>
        </is>
      </c>
    </row>
    <row r="7">
      <c r="A7" s="10" t="inlineStr">
        <is>
          <t>DevOps</t>
        </is>
      </c>
      <c r="B7" s="10" t="n"/>
      <c r="C7" s="10" t="inlineStr">
        <is>
          <t>Кузнецов Д.</t>
        </is>
      </c>
      <c r="D7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9" customWidth="1" min="2" max="2"/>
    <col width="16" customWidth="1" min="3" max="3"/>
    <col width="20" customWidth="1" min="4" max="4"/>
    <col width="22" customWidth="1" min="5" max="5"/>
    <col width="16" customWidth="1" min="6" max="6"/>
    <col width="14" customWidth="1" min="7" max="7"/>
  </cols>
  <sheetData>
    <row r="1">
      <c r="A1" s="11" t="inlineStr">
        <is>
          <t>№</t>
        </is>
      </c>
      <c r="B1" s="11" t="inlineStr">
        <is>
          <t>Task Name</t>
        </is>
      </c>
      <c r="C1" s="11" t="inlineStr">
        <is>
          <t>Category</t>
        </is>
      </c>
      <c r="D1" s="11" t="inlineStr">
        <is>
          <t>Project</t>
        </is>
      </c>
      <c r="E1" s="11" t="inlineStr">
        <is>
          <t>Responsible Person</t>
        </is>
      </c>
      <c r="F1" s="11" t="inlineStr">
        <is>
          <t>Status</t>
        </is>
      </c>
      <c r="G1" s="11" t="inlineStr">
        <is>
          <t>Due Date</t>
        </is>
      </c>
    </row>
    <row r="2">
      <c r="A2" s="12" t="n">
        <v>1</v>
      </c>
      <c r="B2" s="13" t="inlineStr">
        <is>
          <t>Настройка авторизации пользователей</t>
        </is>
      </c>
      <c r="C2" s="13" t="inlineStr">
        <is>
          <t>Разработка</t>
        </is>
      </c>
      <c r="D2" s="13" t="inlineStr">
        <is>
          <t>Alpha CRM</t>
        </is>
      </c>
      <c r="E2" s="13" t="inlineStr">
        <is>
          <t>Иванов И.</t>
        </is>
      </c>
      <c r="F2" s="13" t="inlineStr">
        <is>
          <t>Выполнено</t>
        </is>
      </c>
      <c r="G2" s="19" t="n">
        <v>46280</v>
      </c>
    </row>
    <row r="3">
      <c r="A3" s="15" t="n">
        <v>2</v>
      </c>
      <c r="B3" s="16" t="inlineStr">
        <is>
          <t>Дизайн главного экрана приложения</t>
        </is>
      </c>
      <c r="C3" s="16" t="inlineStr">
        <is>
          <t>Дизайн</t>
        </is>
      </c>
      <c r="D3" s="16" t="inlineStr">
        <is>
          <t>Mobile App v2.0</t>
        </is>
      </c>
      <c r="E3" s="16" t="inlineStr">
        <is>
          <t>Сидорова А.</t>
        </is>
      </c>
      <c r="F3" s="16" t="inlineStr">
        <is>
          <t>Выполнено</t>
        </is>
      </c>
      <c r="G3" s="20" t="n">
        <v>46283</v>
      </c>
    </row>
    <row r="4">
      <c r="A4" s="12" t="n">
        <v>3</v>
      </c>
      <c r="B4" s="13" t="inlineStr">
        <is>
          <t>Маркетинговая стратегия Q3</t>
        </is>
      </c>
      <c r="C4" s="13" t="inlineStr">
        <is>
          <t>Маркетинг</t>
        </is>
      </c>
      <c r="D4" s="13" t="inlineStr">
        <is>
          <t>Marketing Q3</t>
        </is>
      </c>
      <c r="E4" s="13" t="inlineStr">
        <is>
          <t>Петров П.</t>
        </is>
      </c>
      <c r="F4" s="13" t="inlineStr">
        <is>
          <t>В работе</t>
        </is>
      </c>
      <c r="G4" s="19" t="n">
        <v>46288</v>
      </c>
    </row>
    <row r="5">
      <c r="A5" s="15" t="n">
        <v>4</v>
      </c>
      <c r="B5" s="16" t="inlineStr">
        <is>
          <t>Аудит безопасности базы данных</t>
        </is>
      </c>
      <c r="C5" s="16" t="inlineStr">
        <is>
          <t>DevOps</t>
        </is>
      </c>
      <c r="D5" s="16" t="inlineStr">
        <is>
          <t>Security Audit</t>
        </is>
      </c>
      <c r="E5" s="16" t="inlineStr">
        <is>
          <t>Смирнов К.</t>
        </is>
      </c>
      <c r="F5" s="16" t="inlineStr">
        <is>
          <t>К выполнению</t>
        </is>
      </c>
      <c r="G5" s="20" t="n">
        <v>46284</v>
      </c>
    </row>
    <row r="6">
      <c r="A6" s="12" t="n">
        <v>5</v>
      </c>
      <c r="B6" s="13" t="inlineStr">
        <is>
          <t>Редизайн главной страницы сайта</t>
        </is>
      </c>
      <c r="C6" s="13" t="inlineStr">
        <is>
          <t>Дизайн</t>
        </is>
      </c>
      <c r="D6" s="13" t="inlineStr">
        <is>
          <t>Website Redesign</t>
        </is>
      </c>
      <c r="E6" s="13" t="inlineStr">
        <is>
          <t>Сидорова А.</t>
        </is>
      </c>
      <c r="F6" s="13" t="inlineStr">
        <is>
          <t>В работе</t>
        </is>
      </c>
      <c r="G6" s="19" t="n">
        <v>46292</v>
      </c>
    </row>
    <row r="7">
      <c r="A7" s="15" t="n">
        <v>6</v>
      </c>
      <c r="B7" s="16" t="inlineStr">
        <is>
          <t>Интеграция платёжного шлюза</t>
        </is>
      </c>
      <c r="C7" s="16" t="inlineStr">
        <is>
          <t>Разработка</t>
        </is>
      </c>
      <c r="D7" s="16" t="inlineStr">
        <is>
          <t>Alpha CRM</t>
        </is>
      </c>
      <c r="E7" s="16" t="inlineStr">
        <is>
          <t>Иванов И.</t>
        </is>
      </c>
      <c r="F7" s="16" t="inlineStr">
        <is>
          <t>На проверке</t>
        </is>
      </c>
      <c r="G7" s="20" t="n">
        <v>46286</v>
      </c>
    </row>
    <row r="8">
      <c r="A8" s="12" t="n">
        <v>7</v>
      </c>
      <c r="B8" s="13" t="inlineStr">
        <is>
          <t>Сбор требований по отчётам</t>
        </is>
      </c>
      <c r="C8" s="13" t="inlineStr">
        <is>
          <t>Аналитика</t>
        </is>
      </c>
      <c r="D8" s="13" t="inlineStr">
        <is>
          <t>Alpha CRM</t>
        </is>
      </c>
      <c r="E8" s="13" t="inlineStr">
        <is>
          <t>Васильева Е.</t>
        </is>
      </c>
      <c r="F8" s="13" t="inlineStr">
        <is>
          <t>Выполнено</t>
        </is>
      </c>
      <c r="G8" s="19" t="n">
        <v>46275</v>
      </c>
    </row>
    <row r="9">
      <c r="A9" s="15" t="n">
        <v>8</v>
      </c>
      <c r="B9" s="16" t="inlineStr">
        <is>
          <t>Настройка CI/CD пайплайна</t>
        </is>
      </c>
      <c r="C9" s="16" t="inlineStr">
        <is>
          <t>DevOps</t>
        </is>
      </c>
      <c r="D9" s="16" t="inlineStr">
        <is>
          <t>Mobile App v2.0</t>
        </is>
      </c>
      <c r="E9" s="16" t="inlineStr">
        <is>
          <t>Смирнов К.</t>
        </is>
      </c>
      <c r="F9" s="16" t="inlineStr">
        <is>
          <t>В работе</t>
        </is>
      </c>
      <c r="G9" s="20" t="n">
        <v>46282</v>
      </c>
    </row>
    <row r="10">
      <c r="A10" s="12" t="n">
        <v>9</v>
      </c>
      <c r="B10" s="13" t="inlineStr">
        <is>
          <t>Тестирование мобильного API</t>
        </is>
      </c>
      <c r="C10" s="13" t="inlineStr">
        <is>
          <t>Тестирование</t>
        </is>
      </c>
      <c r="D10" s="13" t="inlineStr">
        <is>
          <t>Mobile App v2.0</t>
        </is>
      </c>
      <c r="E10" s="13" t="inlineStr">
        <is>
          <t>Кузнецов Д.</t>
        </is>
      </c>
      <c r="F10" s="13" t="inlineStr">
        <is>
          <t>К выполнению</t>
        </is>
      </c>
      <c r="G10" s="19" t="n">
        <v>46290</v>
      </c>
    </row>
    <row r="11">
      <c r="A11" s="15" t="n">
        <v>10</v>
      </c>
      <c r="B11" s="16" t="inlineStr">
        <is>
          <t>Подготовка рекламных баннеров</t>
        </is>
      </c>
      <c r="C11" s="16" t="inlineStr">
        <is>
          <t>Маркетинг</t>
        </is>
      </c>
      <c r="D11" s="16" t="inlineStr">
        <is>
          <t>Marketing Q3</t>
        </is>
      </c>
      <c r="E11" s="16" t="inlineStr">
        <is>
          <t>Сидорова А.</t>
        </is>
      </c>
      <c r="F11" s="16" t="inlineStr">
        <is>
          <t>На проверке</t>
        </is>
      </c>
      <c r="G11" s="20" t="n">
        <v>46287</v>
      </c>
    </row>
    <row r="12">
      <c r="A12" s="12" t="n">
        <v>11</v>
      </c>
      <c r="B12" s="13" t="inlineStr">
        <is>
          <t>Нагрузочное тестирование бэкенда</t>
        </is>
      </c>
      <c r="C12" s="13" t="inlineStr">
        <is>
          <t>Тестирование</t>
        </is>
      </c>
      <c r="D12" s="13" t="inlineStr">
        <is>
          <t>Alpha CRM</t>
        </is>
      </c>
      <c r="E12" s="13" t="inlineStr">
        <is>
          <t>Кузнецов Д.</t>
        </is>
      </c>
      <c r="F12" s="13" t="inlineStr">
        <is>
          <t>К выполнению</t>
        </is>
      </c>
      <c r="G12" s="19" t="n">
        <v>46295</v>
      </c>
    </row>
    <row r="13">
      <c r="A13" s="15" t="n">
        <v>12</v>
      </c>
      <c r="B13" s="16" t="inlineStr">
        <is>
          <t>Анализ конкурентов в нише</t>
        </is>
      </c>
      <c r="C13" s="16" t="inlineStr">
        <is>
          <t>Аналитика</t>
        </is>
      </c>
      <c r="D13" s="16" t="inlineStr">
        <is>
          <t>Marketing Q3</t>
        </is>
      </c>
      <c r="E13" s="16" t="inlineStr">
        <is>
          <t>Васильева Е.</t>
        </is>
      </c>
      <c r="F13" s="16" t="inlineStr">
        <is>
          <t>Выполнено</t>
        </is>
      </c>
      <c r="G13" s="20" t="n">
        <v>46270</v>
      </c>
    </row>
    <row r="14">
      <c r="A14" s="12" t="n">
        <v>13</v>
      </c>
      <c r="B14" s="13" t="inlineStr">
        <is>
          <t>Оптимизация SQL запросов</t>
        </is>
      </c>
      <c r="C14" s="13" t="inlineStr">
        <is>
          <t>Разработка</t>
        </is>
      </c>
      <c r="D14" s="13" t="inlineStr">
        <is>
          <t>Website Redesign</t>
        </is>
      </c>
      <c r="E14" s="13" t="inlineStr">
        <is>
          <t>Иванов И.</t>
        </is>
      </c>
      <c r="F14" s="13" t="inlineStr">
        <is>
          <t>В работе</t>
        </is>
      </c>
      <c r="G14" s="19" t="n">
        <v>46283</v>
      </c>
    </row>
    <row r="15">
      <c r="A15" s="15" t="n">
        <v>14</v>
      </c>
      <c r="B15" s="16" t="inlineStr">
        <is>
          <t>Ревью архитектуры безопасности</t>
        </is>
      </c>
      <c r="C15" s="16" t="inlineStr">
        <is>
          <t>DevOps</t>
        </is>
      </c>
      <c r="D15" s="16" t="inlineStr">
        <is>
          <t>Security Audit</t>
        </is>
      </c>
      <c r="E15" s="16" t="inlineStr">
        <is>
          <t>Смирнов К.</t>
        </is>
      </c>
      <c r="F15" s="16" t="inlineStr">
        <is>
          <t>К выполнению</t>
        </is>
      </c>
      <c r="G15" s="20" t="n">
        <v>46299</v>
      </c>
    </row>
    <row r="16">
      <c r="A16" t="n">
        <v>15</v>
      </c>
      <c r="B16" t="inlineStr">
        <is>
          <t>Тестовая задача</t>
        </is>
      </c>
      <c r="C16" t="inlineStr">
        <is>
          <t>Разработка</t>
        </is>
      </c>
      <c r="D16" t="inlineStr">
        <is>
          <t>Alpha CRM</t>
        </is>
      </c>
      <c r="E16" t="inlineStr">
        <is>
          <t>Иванов И.</t>
        </is>
      </c>
      <c r="F16" t="inlineStr">
        <is>
          <t>Выполнено</t>
        </is>
      </c>
      <c r="G16" t="inlineStr">
        <is>
          <t>2026-09-20</t>
        </is>
      </c>
    </row>
  </sheetData>
  <autoFilter ref="A1:G15"/>
  <conditionalFormatting sqref="G2:G200">
    <cfRule type="expression" priority="1" dxfId="0">
      <formula>AND(ISNUMBER($G2), $G2&lt;TODAY(), $F2&lt;&gt;"Выполнено")</formula>
    </cfRule>
  </conditionalFormatting>
  <conditionalFormatting sqref="F2:F200">
    <cfRule type="expression" priority="2" dxfId="1">
      <formula>$F2="Выполнено"</formula>
    </cfRule>
  </conditionalFormatting>
  <dataValidations count="4">
    <dataValidation sqref="C2:C200" showDropDown="0" showInputMessage="0" showErrorMessage="0" allowBlank="1" type="list">
      <formula1>=Справочники!$A$2:$A$7</formula1>
    </dataValidation>
    <dataValidation sqref="D2:D200" showDropDown="0" showInputMessage="0" showErrorMessage="0" allowBlank="1" type="list">
      <formula1>=Справочники!$B$2:$B$6</formula1>
    </dataValidation>
    <dataValidation sqref="E2:E200" showDropDown="0" showInputMessage="0" showErrorMessage="0" allowBlank="1" type="list">
      <formula1>=Справочники!$C$2:$C$7</formula1>
    </dataValidation>
    <dataValidation sqref="F2:F200" showDropDown="0" showInputMessage="0" showErrorMessage="0" allowBlank="1" type="list">
      <formula1>=Справочники!$D$2:$D$6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2026-09-20T19:24:43Z</dcterms:created>
  <dcterms:modified xmlns:dcterms="http://purl.org/dc/terms/" xmlns:xsi="http://www.w3.org/2001/XMLSchema-instance" xsi:type="dcterms:W3CDTF">2026-09-20T19:24:53Z</dcterms:modified>
</cp:coreProperties>
</file>