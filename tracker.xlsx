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vgeniy\Documents\ExcelTracker\"/>
    </mc:Choice>
  </mc:AlternateContent>
  <bookViews>
    <workbookView xWindow="0" yWindow="0" windowWidth="23040" windowHeight="9384" activeTab="2"/>
  </bookViews>
  <sheets>
    <sheet name="Сводка" sheetId="1" r:id="rId1"/>
    <sheet name="Справочники" sheetId="2" r:id="rId2"/>
    <sheet name="Задачи" sheetId="3" r:id="rId3"/>
  </sheets>
  <definedNames>
    <definedName name="_xlnm._FilterDatabase" localSheetId="2" hidden="1">Задачи!$A$1:$G$15</definedName>
  </definedNames>
  <calcPr calcId="152511"/>
</workbook>
</file>

<file path=xl/calcChain.xml><?xml version="1.0" encoding="utf-8"?>
<calcChain xmlns="http://schemas.openxmlformats.org/spreadsheetml/2006/main">
  <c r="B20" i="1" l="1"/>
  <c r="B19" i="1"/>
  <c r="B18" i="1"/>
  <c r="B17" i="1"/>
  <c r="B16" i="1"/>
  <c r="E13" i="1"/>
  <c r="E12" i="1"/>
  <c r="B12" i="1"/>
  <c r="E11" i="1"/>
  <c r="B11" i="1"/>
  <c r="E10" i="1"/>
  <c r="B10" i="1"/>
  <c r="E9" i="1"/>
  <c r="B9" i="1"/>
  <c r="E8" i="1"/>
  <c r="B8" i="1"/>
  <c r="G4" i="1"/>
  <c r="E4" i="1"/>
  <c r="C4" i="1"/>
  <c r="A4" i="1"/>
</calcChain>
</file>

<file path=xl/sharedStrings.xml><?xml version="1.0" encoding="utf-8"?>
<sst xmlns="http://schemas.openxmlformats.org/spreadsheetml/2006/main" count="130" uniqueCount="54">
  <si>
    <t>ПАНЕЛЬ УПРАВЛЕНИЯ (DASHBOARD) - ТРЕКЕР ЗАДАЧ</t>
  </si>
  <si>
    <t>Всего задач</t>
  </si>
  <si>
    <t>Выполнено</t>
  </si>
  <si>
    <t>В работе</t>
  </si>
  <si>
    <t>Просрочено</t>
  </si>
  <si>
    <t>Статус задачи</t>
  </si>
  <si>
    <t>Количество</t>
  </si>
  <si>
    <t>Категория</t>
  </si>
  <si>
    <t>К выполнению</t>
  </si>
  <si>
    <t>Разработка</t>
  </si>
  <si>
    <t>Маркетинг</t>
  </si>
  <si>
    <t>На проверке</t>
  </si>
  <si>
    <t>Дизайн</t>
  </si>
  <si>
    <t>Аналитика</t>
  </si>
  <si>
    <t>Отменено</t>
  </si>
  <si>
    <t>Тестирование</t>
  </si>
  <si>
    <t>DevOps</t>
  </si>
  <si>
    <t>Проект</t>
  </si>
  <si>
    <t>Alpha CRM</t>
  </si>
  <si>
    <t>Mobile App v2.0</t>
  </si>
  <si>
    <t>Website Redesign</t>
  </si>
  <si>
    <t>Marketing Q3</t>
  </si>
  <si>
    <t>Security Audit</t>
  </si>
  <si>
    <t>Категории (Category)</t>
  </si>
  <si>
    <t>Проекты (Project)</t>
  </si>
  <si>
    <t>Исполнители (Responsible)</t>
  </si>
  <si>
    <t>Статусы (Status)</t>
  </si>
  <si>
    <t>Иванов И.</t>
  </si>
  <si>
    <t>Петров П.</t>
  </si>
  <si>
    <t>Сидорова А.</t>
  </si>
  <si>
    <t>Смирнов К.</t>
  </si>
  <si>
    <t>Васильева Е.</t>
  </si>
  <si>
    <t>Кузнецов Д.</t>
  </si>
  <si>
    <t>№</t>
  </si>
  <si>
    <t>Task Name</t>
  </si>
  <si>
    <t>Category</t>
  </si>
  <si>
    <t>Project</t>
  </si>
  <si>
    <t>Responsible Person</t>
  </si>
  <si>
    <t>Status</t>
  </si>
  <si>
    <t>Due Date</t>
  </si>
  <si>
    <t>Настройка авторизации пользователей</t>
  </si>
  <si>
    <t>Дизайн главного экрана приложения</t>
  </si>
  <si>
    <t>Маркетинговая стратегия Q3</t>
  </si>
  <si>
    <t>Аудит безопасности базы данных</t>
  </si>
  <si>
    <t>Редизайн главной страницы сайта</t>
  </si>
  <si>
    <t>Интеграция платёжного шлюза</t>
  </si>
  <si>
    <t>Сбор требований по отчётам</t>
  </si>
  <si>
    <t>Настройка CI/CD пайплайна</t>
  </si>
  <si>
    <t>Тестирование мобильного API</t>
  </si>
  <si>
    <t>Подготовка рекламных баннеров</t>
  </si>
  <si>
    <t>Нагрузочное тестирование бэкенда</t>
  </si>
  <si>
    <t>Анализ конкурентов в нише</t>
  </si>
  <si>
    <t>Оптимизация SQL запросов</t>
  </si>
  <si>
    <t>Ревью архитектуры безопасности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</si>
</sst>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\.mm\.yyyy"/>
  </numFmts>
  <fonts count="7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4"/>
      <color rgb="FFFFFFFF"/>
      <name val="Segoe UI"/>
    </font>
    <font>
      <b/>
      <sz val="9"/>
      <color rgb="FF555555"/>
      <name val="Segoe UI"/>
    </font>
    <font>
      <b/>
      <sz val="14"/>
      <color rgb="FF1B4F72"/>
      <name val="Segoe UI"/>
    </font>
    <font>
      <b/>
      <sz val="10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1B4F72"/>
        <bgColor rgb="FF1B4F72"/>
      </patternFill>
    </fill>
    <fill>
      <patternFill patternType="solid">
        <fgColor rgb="FFF9FBFB"/>
        <bgColor rgb="FFF9FBFB"/>
      </patternFill>
    </fill>
    <fill>
      <patternFill patternType="solid">
        <fgColor rgb="FFFFFFFF"/>
        <bgColor rgb="FFFFFFFF"/>
      </patternFill>
    </fill>
    <fill>
      <patternFill patternType="solid">
        <fgColor rgb="FFEAECEE"/>
        <bgColor rgb="FFEAECEE"/>
      </patternFill>
    </fill>
    <fill>
      <patternFill patternType="solid">
        <fgColor rgb="FFF2F4F4"/>
        <bgColor rgb="FFF2F4F4"/>
      </patternFill>
    </fill>
    <fill>
      <patternFill patternType="solid">
        <fgColor rgb="FF2E86C1"/>
        <bgColor rgb="FF2E86C1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0" borderId="2" xfId="0" applyBorder="1"/>
    <xf numFmtId="0" fontId="3" fillId="2" borderId="0" xfId="0" applyFont="1" applyFill="1" applyAlignment="1">
      <alignment horizontal="center" vertical="center"/>
    </xf>
    <xf numFmtId="0" fontId="0" fillId="0" borderId="0" xfId="0"/>
    <xf numFmtId="0" fontId="4" fillId="5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2">
    <dxf>
      <font>
        <b/>
        <sz val="10"/>
        <color rgb="FF145A32"/>
        <name val="Segoe UI"/>
      </font>
      <fill>
        <patternFill patternType="solid">
          <fgColor rgb="FFD4EFDF"/>
          <bgColor rgb="FFD4EFDF"/>
        </patternFill>
      </fill>
    </dxf>
    <dxf>
      <font>
        <b/>
        <sz val="10"/>
        <color rgb="FF900C3F"/>
        <name val="Segoe UI"/>
      </font>
      <fill>
        <patternFill patternType="solid">
          <fgColor rgb="FFFADBD8"/>
          <bgColor rgb="FFFADB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sqref="A1:D1"/>
    </sheetView>
  </sheetViews>
  <sheetFormatPr defaultRowHeight="14.4"/>
  <cols>
    <col min="1" max="1" width="48" customWidth="1"/>
    <col min="2" max="5" width="16" customWidth="1"/>
    <col min="6" max="6" width="12" customWidth="1"/>
    <col min="7" max="7" width="16" customWidth="1"/>
    <col min="8" max="8" width="12" customWidth="1"/>
  </cols>
  <sheetData>
    <row r="1" spans="1:8" ht="34.950000000000003" customHeight="1">
      <c r="A1" s="16" t="s">
        <v>0</v>
      </c>
      <c r="B1" s="17"/>
      <c r="C1" s="17"/>
      <c r="D1" s="17"/>
    </row>
    <row r="3" spans="1:8">
      <c r="A3" s="18" t="s">
        <v>1</v>
      </c>
      <c r="B3" s="15"/>
      <c r="C3" s="18" t="s">
        <v>2</v>
      </c>
      <c r="D3" s="15"/>
      <c r="E3" s="18" t="s">
        <v>3</v>
      </c>
      <c r="F3" s="15"/>
      <c r="G3" s="18" t="s">
        <v>4</v>
      </c>
      <c r="H3" s="15"/>
    </row>
    <row r="4" spans="1:8" ht="20.399999999999999">
      <c r="A4" s="14">
        <f>COUNTA(Задачи!B:B)-1</f>
        <v>14</v>
      </c>
      <c r="B4" s="15"/>
      <c r="C4" s="14">
        <f>COUNTIF(Задачи!F:F, "Выполнено")</f>
        <v>4</v>
      </c>
      <c r="D4" s="15"/>
      <c r="E4" s="14">
        <f>COUNTIF(Задачи!F:F, "В работе")</f>
        <v>4</v>
      </c>
      <c r="F4" s="15"/>
      <c r="G4" s="14">
        <f ca="1">COUNTIFS(Задачи!F:F, "&lt;&gt;Выполнено", Задачи!G:G, "&lt;"&amp;TODAY())</f>
        <v>3</v>
      </c>
      <c r="H4" s="15"/>
    </row>
    <row r="7" spans="1:8" ht="16.8">
      <c r="A7" s="1" t="s">
        <v>5</v>
      </c>
      <c r="B7" s="2" t="s">
        <v>6</v>
      </c>
      <c r="D7" s="1" t="s">
        <v>7</v>
      </c>
      <c r="E7" s="2" t="s">
        <v>6</v>
      </c>
    </row>
    <row r="8" spans="1:8" ht="15">
      <c r="A8" s="3" t="s">
        <v>8</v>
      </c>
      <c r="B8" s="4">
        <f>COUNTIF(Задачи!$F:$F, A8)</f>
        <v>4</v>
      </c>
      <c r="D8" s="3" t="s">
        <v>9</v>
      </c>
      <c r="E8" s="4">
        <f>COUNTIF(Задачи!$C:$C, D8)</f>
        <v>3</v>
      </c>
    </row>
    <row r="9" spans="1:8" ht="15">
      <c r="A9" s="3" t="s">
        <v>3</v>
      </c>
      <c r="B9" s="4">
        <f>COUNTIF(Задачи!$F:$F, A9)</f>
        <v>4</v>
      </c>
      <c r="D9" s="3" t="s">
        <v>10</v>
      </c>
      <c r="E9" s="4">
        <f>COUNTIF(Задачи!$C:$C, D9)</f>
        <v>2</v>
      </c>
    </row>
    <row r="10" spans="1:8" ht="15">
      <c r="A10" s="3" t="s">
        <v>11</v>
      </c>
      <c r="B10" s="4">
        <f>COUNTIF(Задачи!$F:$F, A10)</f>
        <v>2</v>
      </c>
      <c r="D10" s="3" t="s">
        <v>12</v>
      </c>
      <c r="E10" s="4">
        <f>COUNTIF(Задачи!$C:$C, D10)</f>
        <v>2</v>
      </c>
    </row>
    <row r="11" spans="1:8" ht="15">
      <c r="A11" s="3" t="s">
        <v>2</v>
      </c>
      <c r="B11" s="4">
        <f>COUNTIF(Задачи!$F:$F, A11)</f>
        <v>4</v>
      </c>
      <c r="D11" s="3" t="s">
        <v>13</v>
      </c>
      <c r="E11" s="4">
        <f>COUNTIF(Задачи!$C:$C, D11)</f>
        <v>2</v>
      </c>
    </row>
    <row r="12" spans="1:8" ht="15">
      <c r="A12" s="3" t="s">
        <v>14</v>
      </c>
      <c r="B12" s="4">
        <f>COUNTIF(Задачи!$F:$F, A12)</f>
        <v>0</v>
      </c>
      <c r="D12" s="3" t="s">
        <v>15</v>
      </c>
      <c r="E12" s="4">
        <f>COUNTIF(Задачи!$C:$C, D12)</f>
        <v>2</v>
      </c>
    </row>
    <row r="13" spans="1:8" ht="15">
      <c r="D13" s="3" t="s">
        <v>16</v>
      </c>
      <c r="E13" s="4">
        <f>COUNTIF(Задачи!$C:$C, D13)</f>
        <v>3</v>
      </c>
    </row>
    <row r="15" spans="1:8" ht="16.8">
      <c r="A15" s="1" t="s">
        <v>17</v>
      </c>
      <c r="B15" s="2" t="s">
        <v>6</v>
      </c>
    </row>
    <row r="16" spans="1:8" ht="15">
      <c r="A16" s="3" t="s">
        <v>18</v>
      </c>
      <c r="B16" s="4">
        <f>COUNTIF(Задачи!$D:$D, A16)</f>
        <v>4</v>
      </c>
    </row>
    <row r="17" spans="1:2" ht="15">
      <c r="A17" s="3" t="s">
        <v>19</v>
      </c>
      <c r="B17" s="4">
        <f>COUNTIF(Задачи!$D:$D, A17)</f>
        <v>3</v>
      </c>
    </row>
    <row r="18" spans="1:2" ht="15">
      <c r="A18" s="3" t="s">
        <v>20</v>
      </c>
      <c r="B18" s="4">
        <f>COUNTIF(Задачи!$D:$D, A18)</f>
        <v>2</v>
      </c>
    </row>
    <row r="19" spans="1:2" ht="15">
      <c r="A19" s="3" t="s">
        <v>21</v>
      </c>
      <c r="B19" s="4">
        <f>COUNTIF(Задачи!$D:$D, A19)</f>
        <v>3</v>
      </c>
    </row>
    <row r="20" spans="1:2" ht="15">
      <c r="A20" s="3" t="s">
        <v>22</v>
      </c>
      <c r="B20" s="4">
        <f>COUNTIF(Задачи!$D:$D, A20)</f>
        <v>2</v>
      </c>
    </row>
  </sheetData>
  <mergeCells count="9">
    <mergeCell ref="A4:B4"/>
    <mergeCell ref="A1:D1"/>
    <mergeCell ref="E4:F4"/>
    <mergeCell ref="G4:H4"/>
    <mergeCell ref="C3:D3"/>
    <mergeCell ref="A3:B3"/>
    <mergeCell ref="G3:H3"/>
    <mergeCell ref="E3:F3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/>
  </sheetViews>
  <sheetFormatPr defaultRowHeight="14.4"/>
  <cols>
    <col min="1" max="1" width="24" customWidth="1"/>
    <col min="2" max="2" width="21" customWidth="1"/>
    <col min="3" max="3" width="29" customWidth="1"/>
    <col min="4" max="4" width="20" customWidth="1"/>
  </cols>
  <sheetData>
    <row r="1" spans="1:4" ht="16.8">
      <c r="A1" s="5" t="s">
        <v>23</v>
      </c>
      <c r="B1" s="5" t="s">
        <v>24</v>
      </c>
      <c r="C1" s="5" t="s">
        <v>25</v>
      </c>
      <c r="D1" s="5" t="s">
        <v>26</v>
      </c>
    </row>
    <row r="2" spans="1:4" ht="15">
      <c r="A2" s="6" t="s">
        <v>9</v>
      </c>
      <c r="B2" s="6" t="s">
        <v>18</v>
      </c>
      <c r="C2" s="6" t="s">
        <v>27</v>
      </c>
      <c r="D2" s="6" t="s">
        <v>8</v>
      </c>
    </row>
    <row r="3" spans="1:4" ht="15">
      <c r="A3" s="6" t="s">
        <v>10</v>
      </c>
      <c r="B3" s="6" t="s">
        <v>19</v>
      </c>
      <c r="C3" s="6" t="s">
        <v>28</v>
      </c>
      <c r="D3" s="6" t="s">
        <v>3</v>
      </c>
    </row>
    <row r="4" spans="1:4" ht="15">
      <c r="A4" s="6" t="s">
        <v>12</v>
      </c>
      <c r="B4" s="6" t="s">
        <v>20</v>
      </c>
      <c r="C4" s="6" t="s">
        <v>29</v>
      </c>
      <c r="D4" s="6" t="s">
        <v>11</v>
      </c>
    </row>
    <row r="5" spans="1:4" ht="15">
      <c r="A5" s="6" t="s">
        <v>13</v>
      </c>
      <c r="B5" s="6" t="s">
        <v>21</v>
      </c>
      <c r="C5" s="6" t="s">
        <v>30</v>
      </c>
      <c r="D5" s="6" t="s">
        <v>2</v>
      </c>
    </row>
    <row r="6" spans="1:4" ht="15">
      <c r="A6" s="6" t="s">
        <v>15</v>
      </c>
      <c r="B6" s="6" t="s">
        <v>22</v>
      </c>
      <c r="C6" s="6" t="s">
        <v>31</v>
      </c>
      <c r="D6" s="6" t="s">
        <v>14</v>
      </c>
    </row>
    <row r="7" spans="1:4" ht="15">
      <c r="A7" s="6" t="s">
        <v>16</v>
      </c>
      <c r="B7" s="6"/>
      <c r="C7" s="6" t="s">
        <v>32</v>
      </c>
      <c r="D7" s="6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tabSelected="1" workbookViewId="0">
      <pane ySplit="1" topLeftCell="A2" activePane="bottomLeft" state="frozen"/>
      <selection pane="bottomLeft" activeCell="A16" sqref="A16"/>
    </sheetView>
  </sheetViews>
  <sheetFormatPr defaultRowHeight="14.4"/>
  <cols>
    <col min="1" max="1" width="12" customWidth="1"/>
    <col min="2" max="2" width="39" customWidth="1"/>
    <col min="3" max="3" width="16" customWidth="1"/>
    <col min="4" max="4" width="20" customWidth="1"/>
    <col min="5" max="5" width="22" customWidth="1"/>
    <col min="6" max="6" width="16" customWidth="1"/>
    <col min="7" max="7" width="14" customWidth="1"/>
  </cols>
  <sheetData>
    <row r="1" spans="1:7" ht="16.8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</row>
    <row r="2" spans="1:7" ht="15">
      <c r="A2" s="8">
        <v>1</v>
      </c>
      <c r="B2" s="9" t="s">
        <v>40</v>
      </c>
      <c r="C2" s="9" t="s">
        <v>9</v>
      </c>
      <c r="D2" s="9" t="s">
        <v>18</v>
      </c>
      <c r="E2" s="9" t="s">
        <v>27</v>
      </c>
      <c r="F2" s="9" t="s">
        <v>2</v>
      </c>
      <c r="G2" s="12">
        <v>46280</v>
      </c>
    </row>
    <row r="3" spans="1:7" ht="15">
      <c r="A3" s="10">
        <v>2</v>
      </c>
      <c r="B3" s="11" t="s">
        <v>41</v>
      </c>
      <c r="C3" s="11" t="s">
        <v>12</v>
      </c>
      <c r="D3" s="11" t="s">
        <v>19</v>
      </c>
      <c r="E3" s="11" t="s">
        <v>29</v>
      </c>
      <c r="F3" s="11" t="s">
        <v>2</v>
      </c>
      <c r="G3" s="13">
        <v>46283</v>
      </c>
    </row>
    <row r="4" spans="1:7" ht="15">
      <c r="A4" s="8">
        <v>3</v>
      </c>
      <c r="B4" s="9" t="s">
        <v>42</v>
      </c>
      <c r="C4" s="9" t="s">
        <v>10</v>
      </c>
      <c r="D4" s="9" t="s">
        <v>21</v>
      </c>
      <c r="E4" s="9" t="s">
        <v>28</v>
      </c>
      <c r="F4" s="9" t="s">
        <v>3</v>
      </c>
      <c r="G4" s="12">
        <v>46288</v>
      </c>
    </row>
    <row r="5" spans="1:7" ht="15">
      <c r="A5" s="10">
        <v>4</v>
      </c>
      <c r="B5" s="11" t="s">
        <v>43</v>
      </c>
      <c r="C5" s="11" t="s">
        <v>16</v>
      </c>
      <c r="D5" s="11" t="s">
        <v>22</v>
      </c>
      <c r="E5" s="11" t="s">
        <v>30</v>
      </c>
      <c r="F5" s="11" t="s">
        <v>8</v>
      </c>
      <c r="G5" s="13">
        <v>46284</v>
      </c>
    </row>
    <row r="6" spans="1:7" ht="15">
      <c r="A6" s="8">
        <v>5</v>
      </c>
      <c r="B6" s="9" t="s">
        <v>44</v>
      </c>
      <c r="C6" s="9" t="s">
        <v>12</v>
      </c>
      <c r="D6" s="9" t="s">
        <v>20</v>
      </c>
      <c r="E6" s="9" t="s">
        <v>29</v>
      </c>
      <c r="F6" s="9" t="s">
        <v>3</v>
      </c>
      <c r="G6" s="12">
        <v>46292</v>
      </c>
    </row>
    <row r="7" spans="1:7" ht="15">
      <c r="A7" s="10">
        <v>6</v>
      </c>
      <c r="B7" s="11" t="s">
        <v>45</v>
      </c>
      <c r="C7" s="11" t="s">
        <v>9</v>
      </c>
      <c r="D7" s="11" t="s">
        <v>18</v>
      </c>
      <c r="E7" s="11" t="s">
        <v>27</v>
      </c>
      <c r="F7" s="11" t="s">
        <v>11</v>
      </c>
      <c r="G7" s="13">
        <v>46286</v>
      </c>
    </row>
    <row r="8" spans="1:7" ht="15">
      <c r="A8" s="8">
        <v>7</v>
      </c>
      <c r="B8" s="9" t="s">
        <v>46</v>
      </c>
      <c r="C8" s="9" t="s">
        <v>13</v>
      </c>
      <c r="D8" s="9" t="s">
        <v>18</v>
      </c>
      <c r="E8" s="9" t="s">
        <v>31</v>
      </c>
      <c r="F8" s="9" t="s">
        <v>2</v>
      </c>
      <c r="G8" s="12">
        <v>46275</v>
      </c>
    </row>
    <row r="9" spans="1:7" ht="15">
      <c r="A9" s="10">
        <v>8</v>
      </c>
      <c r="B9" s="11" t="s">
        <v>47</v>
      </c>
      <c r="C9" s="11" t="s">
        <v>16</v>
      </c>
      <c r="D9" s="11" t="s">
        <v>19</v>
      </c>
      <c r="E9" s="11" t="s">
        <v>30</v>
      </c>
      <c r="F9" s="11" t="s">
        <v>3</v>
      </c>
      <c r="G9" s="13">
        <v>46282</v>
      </c>
    </row>
    <row r="10" spans="1:7" ht="15">
      <c r="A10" s="8">
        <v>9</v>
      </c>
      <c r="B10" s="9" t="s">
        <v>48</v>
      </c>
      <c r="C10" s="9" t="s">
        <v>15</v>
      </c>
      <c r="D10" s="9" t="s">
        <v>19</v>
      </c>
      <c r="E10" s="9" t="s">
        <v>32</v>
      </c>
      <c r="F10" s="9" t="s">
        <v>8</v>
      </c>
      <c r="G10" s="12">
        <v>46290</v>
      </c>
    </row>
    <row r="11" spans="1:7" ht="15">
      <c r="A11" s="10">
        <v>10</v>
      </c>
      <c r="B11" s="11" t="s">
        <v>49</v>
      </c>
      <c r="C11" s="11" t="s">
        <v>10</v>
      </c>
      <c r="D11" s="11" t="s">
        <v>21</v>
      </c>
      <c r="E11" s="11" t="s">
        <v>29</v>
      </c>
      <c r="F11" s="11" t="s">
        <v>11</v>
      </c>
      <c r="G11" s="13">
        <v>46287</v>
      </c>
    </row>
    <row r="12" spans="1:7" ht="15">
      <c r="A12" s="8">
        <v>11</v>
      </c>
      <c r="B12" s="9" t="s">
        <v>50</v>
      </c>
      <c r="C12" s="9" t="s">
        <v>15</v>
      </c>
      <c r="D12" s="9" t="s">
        <v>18</v>
      </c>
      <c r="E12" s="9" t="s">
        <v>32</v>
      </c>
      <c r="F12" s="9" t="s">
        <v>8</v>
      </c>
      <c r="G12" s="12">
        <v>46295</v>
      </c>
    </row>
    <row r="13" spans="1:7" ht="15">
      <c r="A13" s="10">
        <v>12</v>
      </c>
      <c r="B13" s="11" t="s">
        <v>51</v>
      </c>
      <c r="C13" s="11" t="s">
        <v>13</v>
      </c>
      <c r="D13" s="11" t="s">
        <v>21</v>
      </c>
      <c r="E13" s="11" t="s">
        <v>31</v>
      </c>
      <c r="F13" s="11" t="s">
        <v>2</v>
      </c>
      <c r="G13" s="13">
        <v>46270</v>
      </c>
    </row>
    <row r="14" spans="1:7" ht="15">
      <c r="A14" s="8">
        <v>13</v>
      </c>
      <c r="B14" s="9" t="s">
        <v>52</v>
      </c>
      <c r="C14" s="9" t="s">
        <v>9</v>
      </c>
      <c r="D14" s="9" t="s">
        <v>20</v>
      </c>
      <c r="E14" s="9" t="s">
        <v>27</v>
      </c>
      <c r="F14" s="9" t="s">
        <v>3</v>
      </c>
      <c r="G14" s="12">
        <v>46283</v>
      </c>
    </row>
    <row r="15" spans="1:7" ht="15">
      <c r="A15" s="10">
        <v>14</v>
      </c>
      <c r="B15" s="11" t="s">
        <v>53</v>
      </c>
      <c r="C15" s="11" t="s">
        <v>16</v>
      </c>
      <c r="D15" s="11" t="s">
        <v>22</v>
      </c>
      <c r="E15" s="11" t="s">
        <v>30</v>
      </c>
      <c r="F15" s="11" t="s">
        <v>8</v>
      </c>
      <c r="G15" s="13">
        <v>46299</v>
      </c>
    </row>
  </sheetData>
  <autoFilter ref="A1:G15"/>
  <conditionalFormatting sqref="G2:G199">
    <cfRule type="expression" dxfId="1" priority="1">
      <formula>AND(ISNUMBER($G2), $G2&lt;TODAY(), $F2&lt;&gt;"Выполнено")</formula>
    </cfRule>
  </conditionalFormatting>
  <conditionalFormatting sqref="F2:F199">
    <cfRule type="expression" dxfId="0" priority="2">
      <formula>$F2="Выполнено"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Справочники!$A$2:$A$7</xm:f>
          </x14:formula1>
          <xm:sqref>C2:C199</xm:sqref>
        </x14:dataValidation>
        <x14:dataValidation type="list" allowBlank="1">
          <x14:formula1>
            <xm:f>Справочники!$B$2:$B$6</xm:f>
          </x14:formula1>
          <xm:sqref>D2:D199</xm:sqref>
        </x14:dataValidation>
        <x14:dataValidation type="list" allowBlank="1">
          <x14:formula1>
            <xm:f>Справочники!$C$2:$C$7</xm:f>
          </x14:formula1>
          <xm:sqref>E2:E199</xm:sqref>
        </x14:dataValidation>
        <x14:dataValidation type="list" allowBlank="1">
          <x14:formula1>
            <xm:f>Справочники!$D$2:$D$6</xm:f>
          </x14:formula1>
          <xm:sqref>F2:F199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Сводка</vt:lpstr>
      <vt:lpstr>Справочники</vt:lpstr>
      <vt:lpstr>Задачи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Evgeniy</cp:lastModifiedBy>
  <dcterms:created xsi:type="dcterms:W3CDTF">2026-09-20T19:24:43Z</dcterms:created>
  <dcterms:modified xsi:type="dcterms:W3CDTF">2026-09-21T00:52:02Z</dcterms:modified>
</cp:coreProperties>
</file>