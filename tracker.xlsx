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mc:Ignorable="unk1">
  <s:fileVersion appName="xl" lastEdited="6" lowestEdited="6" rupBuild="14420"/>
  <s:workbookPr/>
  <s:bookViews>
    <s:workbookView xWindow="0" yWindow="0" windowWidth="23040" windowHeight="9384" activeTab="2"/>
  </s:bookViews>
  <s:sheets>
    <s:sheet name="Сводка" sheetId="1" state="visible" r:id="rId1"/>
    <s:sheet name="Справочники" sheetId="2" state="visible" r:id="rId2"/>
    <s:sheet name="Задачи" sheetId="3" state="visible" r:id="rId3"/>
  </s:sheets>
  <s:definedNames>
    <s:definedName name="_xlnm._FilterDatabase" localSheetId="2" hidden="1">Задачи!$A$1:$G$15</s:definedName>
  </s:definedNames>
  <s:calcPr calcId="152511"/>
</s:workbook>
</file>

<file path=xl/sharedStrings.xml><?xml version="1.0" encoding="utf-8"?>
<s:sst xmlns:s="http://schemas.openxmlformats.org/spreadsheetml/2006/main" count="130" uniqueCount="54">
  <s:si>
    <s:t>ПАНЕЛЬ УПРАВЛЕНИЯ (DASHBOARD) - ТРЕКЕР ЗАДАЧ</s:t>
  </s:si>
  <s:si>
    <s:t>Всего задач</s:t>
  </s:si>
  <s:si>
    <s:t>Выполнено</s:t>
  </s:si>
  <s:si>
    <s:t>В работе</s:t>
  </s:si>
  <s:si>
    <s:t>Просрочено</s:t>
  </s:si>
  <s:si>
    <s:t>Статус задачи</s:t>
  </s:si>
  <s:si>
    <s:t>Количество</s:t>
  </s:si>
  <s:si>
    <s:t>Категория</s:t>
  </s:si>
  <s:si>
    <s:t>К выполнению</s:t>
  </s:si>
  <s:si>
    <s:t>Разработка</s:t>
  </s:si>
  <s:si>
    <s:t>Маркетинг</s:t>
  </s:si>
  <s:si>
    <s:t>На проверке</s:t>
  </s:si>
  <s:si>
    <s:t>Дизайн</s:t>
  </s:si>
  <s:si>
    <s:t>Аналитика</s:t>
  </s:si>
  <s:si>
    <s:t>Отменено</s:t>
  </s:si>
  <s:si>
    <s:t>Тестирование</s:t>
  </s:si>
  <s:si>
    <s:t>DevOps</s:t>
  </s:si>
  <s:si>
    <s:t>Проект</s:t>
  </s:si>
  <s:si>
    <s:t>Alpha CRM</s:t>
  </s:si>
  <s:si>
    <s:t>Mobile App v2.0</s:t>
  </s:si>
  <s:si>
    <s:t>Website Redesign</s:t>
  </s:si>
  <s:si>
    <s:t>Marketing Q3</s:t>
  </s:si>
  <s:si>
    <s:t>Security Audit</s:t>
  </s:si>
  <s:si>
    <s:t>Категории (Category)</s:t>
  </s:si>
  <s:si>
    <s:t>Проекты (Project)</s:t>
  </s:si>
  <s:si>
    <s:t>Исполнители (Responsible)</s:t>
  </s:si>
  <s:si>
    <s:t>Статусы (Status)</s:t>
  </s:si>
  <s:si>
    <s:t>Иванов И.</s:t>
  </s:si>
  <s:si>
    <s:t>Петров П.</s:t>
  </s:si>
  <s:si>
    <s:t>Сидорова А.</s:t>
  </s:si>
  <s:si>
    <s:t>Смирнов К.</s:t>
  </s:si>
  <s:si>
    <s:t>Васильева Е.</s:t>
  </s:si>
  <s:si>
    <s:t>Кузнецов Д.</s:t>
  </s:si>
  <s:si>
    <s:t>№</s:t>
  </s:si>
  <s:si>
    <s:t>Task Name</s:t>
  </s:si>
  <s:si>
    <s:t>Category</s:t>
  </s:si>
  <s:si>
    <s:t>Project</s:t>
  </s:si>
  <s:si>
    <s:t>Responsible Person</s:t>
  </s:si>
  <s:si>
    <s:t>Status</s:t>
  </s:si>
  <s:si>
    <s:t>Due Date</s:t>
  </s:si>
  <s:si>
    <s:t>Настройка авторизации пользователей</s:t>
  </s:si>
  <s:si>
    <s:t>Дизайн главного экрана приложения</s:t>
  </s:si>
  <s:si>
    <s:t>Маркетинговая стратегия Q3</s:t>
  </s:si>
  <s:si>
    <s:t>Аудит безопасности базы данных</s:t>
  </s:si>
  <s:si>
    <s:t>Редизайн главной страницы сайта</s:t>
  </s:si>
  <s:si>
    <s:t>Интеграция платёжного шлюза</s:t>
  </s:si>
  <s:si>
    <s:t>Сбор требований по отчётам</s:t>
  </s:si>
  <s:si>
    <s:t>Настройка CI/CD пайплайна</s:t>
  </s:si>
  <s:si>
    <s:t>Тестирование мобильного API</s:t>
  </s:si>
  <s:si>
    <s:t>Подготовка рекламных баннеров</s:t>
  </s:si>
  <s:si>
    <s:t>Нагрузочное тестирование бэкенда</s:t>
  </s:si>
  <s:si>
    <s:t>Анализ конкурентов в нише</s:t>
  </s:si>
  <s:si>
    <s:t>Оптимизация SQL запросов</s:t>
  </s:si>
  <s:si>
    <s:t>Ревью архитектуры безопасности</s:t>
  </s:si>
  <s:si>
    <s:t>ExcelTracker</s:t>
  </s:si>
</s:sst>
</file>

<file path=xl/styles.xml><?xml version="1.0" encoding="utf-8"?>
<s:styleSheet xmlns:vyd="http://volga.yandex.com/schemas/document/model" xmlns:mc="http://schemas.openxmlformats.org/markup-compatibility/2006" xmlns:unk1="http://schemas.microsoft.com/office/spreadsheetml/2010/11/main" xmlns:x14="http://schemas.microsoft.com/office/spreadsheetml/2009/9/main" xmlns:x14ac="http://schemas.microsoft.com/office/spreadsheetml/2009/9/ac" xmlns:s="http://schemas.openxmlformats.org/spreadsheetml/2006/main" mc:Ignorable="x14ac">
  <s:numFmts count="1">
    <s:numFmt numFmtId="164" formatCode="dd\.mm\.yyyy"/>
  </s:numFmts>
  <s:fonts count="7">
    <s:font>
      <s:name val="Calibri"/>
      <s:family val="2"/>
      <s:color theme="1"/>
      <s:sz val="11"/>
      <s:scheme val="minor"/>
    </s:font>
    <s:font>
      <s:name val="Segoe UI"/>
      <s:b val="1"/>
      <s:color rgb="FFFFFFFF"/>
      <s:sz val="11"/>
    </s:font>
    <s:font>
      <s:name val="Segoe UI"/>
      <s:sz val="10"/>
    </s:font>
    <s:font>
      <s:name val="Segoe UI"/>
      <s:b val="1"/>
      <s:color rgb="FFFFFFFF"/>
      <s:sz val="14"/>
    </s:font>
    <s:font>
      <s:name val="Segoe UI"/>
      <s:b val="1"/>
      <s:color rgb="FF555555"/>
      <s:sz val="9"/>
    </s:font>
    <s:font>
      <s:name val="Segoe UI"/>
      <s:b val="1"/>
      <s:color rgb="FF1B4F72"/>
      <s:sz val="14"/>
    </s:font>
    <s:font>
      <s:name val="Segoe UI"/>
      <s:b val="1"/>
      <s:sz val="10"/>
    </s:font>
  </s:fonts>
  <s:fills count="8">
    <s:fill>
      <s:patternFill patternType="none"/>
    </s:fill>
    <s:fill>
      <s:patternFill patternType="gray125"/>
    </s:fill>
    <s:fill>
      <s:patternFill patternType="solid">
        <s:fgColor rgb="FF1B4F72"/>
        <s:bgColor rgb="FF1B4F72"/>
      </s:patternFill>
    </s:fill>
    <s:fill>
      <s:patternFill patternType="solid">
        <s:fgColor rgb="FFF9FBFB"/>
        <s:bgColor rgb="FFF9FBFB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EAECEE"/>
        <s:bgColor rgb="FFEAECEE"/>
      </s:patternFill>
    </s:fill>
    <s:fill>
      <s:patternFill patternType="solid">
        <s:fgColor rgb="FFF2F4F4"/>
        <s:bgColor rgb="FFF2F4F4"/>
      </s:patternFill>
    </s:fill>
    <s:fill>
      <s:patternFill patternType="solid">
        <s:fgColor rgb="FF2E86C1"/>
        <s:bgColor rgb="FF2E86C1"/>
      </s:patternFill>
    </s:fill>
  </s:fills>
  <s:borders count="3">
    <s:border>
      <s:left/>
      <s:right/>
      <s:top/>
      <s:bottom/>
      <s:diagonal/>
    </s:border>
    <s:border>
      <s:left style="thin">
        <s:color rgb="FFD3D3D3"/>
      </s:left>
      <s:right style="thin">
        <s:color rgb="FFD3D3D3"/>
      </s:right>
      <s:top style="thin">
        <s:color rgb="FFD3D3D3"/>
      </s:top>
      <s:bottom style="thin">
        <s:color rgb="FFD3D3D3"/>
      </s:bottom>
      <s:diagonal/>
    </s:border>
    <s:border>
      <s:left/>
      <s:right style="thin">
        <s:color rgb="FFD3D3D3"/>
      </s:right>
      <s:top style="thin">
        <s:color rgb="FFD3D3D3"/>
      </s:top>
      <s:bottom style="thin">
        <s:color rgb="FFD3D3D3"/>
      </s:bottom>
      <s:diagonal/>
    </s:border>
  </s:borders>
  <s:cellStyleXfs count="1">
    <s:xf numFmtId="0" fontId="0" fillId="0" borderId="0"/>
  </s:cellStyleXfs>
  <s:cellXfs count="20">
    <s:xf numFmtId="0" fontId="0" fillId="0" borderId="0" xfId="0"/>
    <s:xf numFmtId="0" fontId="1" fillId="7" borderId="0" xfId="0" applyFont="1" applyFill="1" applyAlignment="1">
      <s:alignment horizontal="left" vertical="center" mc:Ignorable="vyd"/>
    </s:xf>
    <s:xf numFmtId="0" fontId="1" fillId="7" borderId="0" xfId="0" applyFont="1" applyFill="1" applyAlignment="1">
      <s:alignment horizontal="center" vertical="center" mc:Ignorable="vyd"/>
    </s:xf>
    <s:xf numFmtId="0" fontId="2" fillId="0" borderId="1" xfId="0" applyFont="1" applyBorder="1"/>
    <s:xf numFmtId="0" fontId="6" fillId="0" borderId="1" xfId="0" applyFont="1" applyBorder="1" applyAlignment="1">
      <s:alignment horizontal="center" vertical="center" mc:Ignorable="vyd"/>
    </s:xf>
    <s:xf numFmtId="0" fontId="1" fillId="2" borderId="0" xfId="0" applyFont="1" applyFill="1" applyAlignment="1">
      <s:alignment horizontal="center" vertical="center" mc:Ignorable="vyd"/>
    </s:xf>
    <s:xf numFmtId="0" fontId="2" fillId="0" borderId="1" xfId="0" applyFont="1" applyBorder="1" applyAlignment="1">
      <s:alignment horizontal="left" vertical="center" mc:Ignorable="vyd"/>
    </s:xf>
    <s:xf numFmtId="0" fontId="1" fillId="2" borderId="0" xfId="0" applyFont="1" applyFill="1" applyAlignment="1">
      <s:alignment horizontal="center" vertical="center" wrapText="1" mc:Ignorable="vyd"/>
    </s:xf>
    <s:xf numFmtId="0" fontId="2" fillId="3" borderId="1" xfId="0" applyFont="1" applyFill="1" applyBorder="1" applyAlignment="1">
      <s:alignment horizontal="center" vertical="center" mc:Ignorable="vyd"/>
    </s:xf>
    <s:xf numFmtId="0" fontId="2" fillId="3" borderId="1" xfId="0" applyFont="1" applyFill="1" applyBorder="1" applyAlignment="1">
      <s:alignment horizontal="left" vertical="center" mc:Ignorable="vyd"/>
    </s:xf>
    <s:xf numFmtId="0" fontId="2" fillId="4" borderId="1" xfId="0" applyFont="1" applyFill="1" applyBorder="1" applyAlignment="1">
      <s:alignment horizontal="center" vertical="center" mc:Ignorable="vyd"/>
    </s:xf>
    <s:xf numFmtId="0" fontId="2" fillId="4" borderId="1" xfId="0" applyFont="1" applyFill="1" applyBorder="1" applyAlignment="1">
      <s:alignment horizontal="left" vertical="center" mc:Ignorable="vyd"/>
    </s:xf>
    <s:xf numFmtId="164" fontId="2" fillId="3" borderId="1" xfId="0" applyNumberFormat="1" applyFont="1" applyFill="1" applyBorder="1" applyAlignment="1">
      <s:alignment horizontal="center" vertical="center" mc:Ignorable="vyd"/>
    </s:xf>
    <s:xf numFmtId="164" fontId="2" fillId="4" borderId="1" xfId="0" applyNumberFormat="1" applyFont="1" applyFill="1" applyBorder="1" applyAlignment="1">
      <s:alignment horizontal="center" vertical="center" mc:Ignorable="vyd"/>
    </s:xf>
    <s:xf numFmtId="0" fontId="5" fillId="6" borderId="1" xfId="0" applyFont="1" applyFill="1" applyBorder="1" applyAlignment="1">
      <s:alignment horizontal="center" vertical="center" mc:Ignorable="vyd"/>
    </s:xf>
    <s:xf numFmtId="0" fontId="0" fillId="0" borderId="2" xfId="0" applyBorder="1"/>
    <s:xf numFmtId="0" fontId="3" fillId="2" borderId="0" xfId="0" applyFont="1" applyFill="1" applyAlignment="1">
      <s:alignment horizontal="center" vertical="center" mc:Ignorable="vyd"/>
    </s:xf>
    <s:xf numFmtId="0" fontId="0" fillId="0" borderId="0" xfId="0"/>
    <s:xf numFmtId="0" fontId="4" fillId="5" borderId="1" xfId="0" applyFont="1" applyFill="1" applyBorder="1" applyAlignment="1">
      <s:alignment horizontal="center" vertical="center" mc:Ignorable="vyd"/>
    </s:xf>
    <s:xf numFmtId="0" fontId="1" fillId="2" borderId="0" xfId="0" applyNumberFormat="1" applyFont="1" applyFill="1" applyAlignment="1">
      <s:alignment horizontal="center" vertical="center" wrapText="1" mc:Ignorable="vyd"/>
    </s:xf>
  </s:cellXfs>
  <s:cellStyles count="1">
    <s:cellStyle name="Обычный" xfId="0" builtinId="0"/>
  </s:cellStyles>
  <s:dxfs count="2">
    <s:dxf>
      <s:font>
        <s:name val="Segoe UI"/>
        <s:b val="1"/>
        <s:color rgb="FF145A32"/>
        <s:sz val="10"/>
      </s:font>
      <s:fill>
        <s:patternFill patternType="solid">
          <s:fgColor rgb="FFD4EFDF"/>
          <s:bgColor rgb="FFD4EFDF"/>
        </s:patternFill>
      </s:fill>
    </s:dxf>
    <s:dxf>
      <s:font>
        <s:name val="Segoe UI"/>
        <s:b val="1"/>
        <s:color rgb="FF900C3F"/>
        <s:sz val="10"/>
      </s:font>
      <s:fill>
        <s:patternFill patternType="solid">
          <s:fgColor rgb="FFFADBD8"/>
          <s:bgColor rgb="FFFADBD8"/>
        </s:patternFill>
      </s:fill>
    </s:dxf>
  </s:dxfs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6" Type="http://schemas.openxmlformats.org/officeDocument/2006/relationships/sharedStrings" Target="sharedStrings.xml"/><Relationship Id="rId4" Type="http://schemas.openxmlformats.org/officeDocument/2006/relationships/styles" Target="styles.xml"/><Relationship Target="theme/theme1.xml" Type="http://schemas.openxmlformats.org/officeDocument/2006/relationships/theme" Id="rId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dimension ref="A1:H20"/>
  <s:sheetViews>
    <s:sheetView tabSelected="0" workbookViewId="0">
      <s:selection sqref="A1:D1"/>
    </s:sheetView>
  </s:sheetViews>
  <s:sheetFormatPr defaultColWidth="10" defaultRowHeight="14.4"/>
  <s:cols>
    <s:col min="1" max="1" width="48" customWidth="1"/>
    <s:col min="2" max="5" width="16" customWidth="1"/>
    <s:col min="6" max="6" width="12" customWidth="1"/>
    <s:col min="7" max="7" width="16" customWidth="1"/>
    <s:col min="8" max="8" width="12" customWidth="1"/>
  </s:cols>
  <s:sheetData>
    <s:row r="1" spans="1:8" ht="34.95" customHeight="1">
      <s:c r="A1" s="16" t="s">
        <s:v>0</s:v>
      </s:c>
      <s:c r="B1" s="17"/>
      <s:c r="C1" s="17"/>
      <s:c r="D1" s="17"/>
    </s:row>
    <s:row r="3" spans="1:8">
      <s:c r="A3" s="18" t="s">
        <s:v>1</s:v>
      </s:c>
      <s:c r="B3" s="15"/>
      <s:c r="C3" s="18" t="s">
        <s:v>2</s:v>
      </s:c>
      <s:c r="D3" s="15"/>
      <s:c r="E3" s="18" t="s">
        <s:v>3</s:v>
      </s:c>
      <s:c r="F3" s="15"/>
      <s:c r="G3" s="18" t="s">
        <s:v>4</s:v>
      </s:c>
      <s:c r="H3" s="15"/>
    </s:row>
    <s:row r="4" spans="1:8" ht="20.4">
      <s:c r="A4" s="14">
        <s:f>COUNTA(Задачи!B:B)-1</s:f>
        <s:v>14</s:v>
      </s:c>
      <s:c r="B4" s="15"/>
      <s:c r="C4" s="14">
        <s:f>COUNTIF(Задачи!F:F, "Выполнено")</s:f>
        <s:v>4</s:v>
      </s:c>
      <s:c r="D4" s="15"/>
      <s:c r="E4" s="14">
        <s:f>COUNTIF(Задачи!F:F, "В работе")</s:f>
        <s:v>4</s:v>
      </s:c>
      <s:c r="F4" s="15"/>
      <s:c r="G4" s="14">
        <s:f ca="1">COUNTIFS(Задачи!F:F, "&lt;&gt;Выполнено", Задачи!G:G, "&lt;"&amp;TODAY())</s:f>
        <s:v>2</s:v>
      </s:c>
      <s:c r="H4" s="15"/>
    </s:row>
    <s:row r="7" spans="1:8" ht="16.8">
      <s:c r="A7" s="1" t="s">
        <s:v>5</s:v>
      </s:c>
      <s:c r="B7" s="2" t="s">
        <s:v>6</s:v>
      </s:c>
      <s:c r="D7" s="1" t="s">
        <s:v>7</s:v>
      </s:c>
      <s:c r="E7" s="2" t="s">
        <s:v>6</s:v>
      </s:c>
    </s:row>
    <s:row r="8" spans="1:8" ht="15">
      <s:c r="A8" s="3" t="s">
        <s:v>8</s:v>
      </s:c>
      <s:c r="B8" s="4">
        <s:f>COUNTIF(Задачи!$F:$F, A8)</s:f>
        <s:v>4</s:v>
      </s:c>
      <s:c r="D8" s="3" t="s">
        <s:v>9</s:v>
      </s:c>
      <s:c r="E8" s="4">
        <s:f>COUNTIF(Задачи!$C:$C, D8)</s:f>
        <s:v>3</s:v>
      </s:c>
    </s:row>
    <s:row r="9" spans="1:8" ht="15">
      <s:c r="A9" s="3" t="s">
        <s:v>3</s:v>
      </s:c>
      <s:c r="B9" s="4">
        <s:f>COUNTIF(Задачи!$F:$F, A9)</s:f>
        <s:v>4</s:v>
      </s:c>
      <s:c r="D9" s="3" t="s">
        <s:v>10</s:v>
      </s:c>
      <s:c r="E9" s="4">
        <s:f>COUNTIF(Задачи!$C:$C, D9)</s:f>
        <s:v>2</s:v>
      </s:c>
    </s:row>
    <s:row r="10" spans="1:8" ht="15">
      <s:c r="A10" s="3" t="s">
        <s:v>11</s:v>
      </s:c>
      <s:c r="B10" s="4">
        <s:f>COUNTIF(Задачи!$F:$F, A10)</s:f>
        <s:v>2</s:v>
      </s:c>
      <s:c r="D10" s="3" t="s">
        <s:v>12</s:v>
      </s:c>
      <s:c r="E10" s="4">
        <s:f>COUNTIF(Задачи!$C:$C, D10)</s:f>
        <s:v>2</s:v>
      </s:c>
    </s:row>
    <s:row r="11" spans="1:8" ht="15">
      <s:c r="A11" s="3" t="s">
        <s:v>2</s:v>
      </s:c>
      <s:c r="B11" s="4">
        <s:f>COUNTIF(Задачи!$F:$F, A11)</s:f>
        <s:v>4</s:v>
      </s:c>
      <s:c r="D11" s="3" t="s">
        <s:v>13</s:v>
      </s:c>
      <s:c r="E11" s="4">
        <s:f>COUNTIF(Задачи!$C:$C, D11)</s:f>
        <s:v>2</s:v>
      </s:c>
    </s:row>
    <s:row r="12" spans="1:8" ht="15">
      <s:c r="A12" s="3" t="s">
        <s:v>14</s:v>
      </s:c>
      <s:c r="B12" s="4">
        <s:f>COUNTIF(Задачи!$F:$F, A12)</s:f>
        <s:v>0</s:v>
      </s:c>
      <s:c r="D12" s="3" t="s">
        <s:v>15</s:v>
      </s:c>
      <s:c r="E12" s="4">
        <s:f>COUNTIF(Задачи!$C:$C, D12)</s:f>
        <s:v>2</s:v>
      </s:c>
    </s:row>
    <s:row r="13" spans="1:8" ht="15">
      <s:c r="D13" s="3" t="s">
        <s:v>16</s:v>
      </s:c>
      <s:c r="E13" s="4">
        <s:f>COUNTIF(Задачи!$C:$C, D13)</s:f>
        <s:v>3</s:v>
      </s:c>
    </s:row>
    <s:row r="15" spans="1:8" ht="16.8">
      <s:c r="A15" s="1" t="s">
        <s:v>17</s:v>
      </s:c>
      <s:c r="B15" s="2" t="s">
        <s:v>6</s:v>
      </s:c>
    </s:row>
    <s:row r="16" spans="1:8" ht="15">
      <s:c r="A16" s="3" t="s">
        <s:v>18</s:v>
      </s:c>
      <s:c r="B16" s="4">
        <s:f>COUNTIF(Задачи!$D:$D, A16)</s:f>
        <s:v>4</s:v>
      </s:c>
    </s:row>
    <s:row r="17" spans="1:2" ht="15">
      <s:c r="A17" s="3" t="s">
        <s:v>19</s:v>
      </s:c>
      <s:c r="B17" s="4">
        <s:f>COUNTIF(Задачи!$D:$D, A17)</s:f>
        <s:v>3</s:v>
      </s:c>
    </s:row>
    <s:row r="18" spans="1:2" ht="15">
      <s:c r="A18" s="3" t="s">
        <s:v>20</s:v>
      </s:c>
      <s:c r="B18" s="4">
        <s:f>COUNTIF(Задачи!$D:$D, A18)</s:f>
        <s:v>2</s:v>
      </s:c>
    </s:row>
    <s:row r="19" spans="1:2" ht="15">
      <s:c r="A19" s="3" t="s">
        <s:v>21</s:v>
      </s:c>
      <s:c r="B19" s="4">
        <s:f>COUNTIF(Задачи!$D:$D, A19)</s:f>
        <s:v>3</s:v>
      </s:c>
    </s:row>
    <s:row r="20" spans="1:2" ht="15">
      <s:c r="A20" s="3" t="s">
        <s:v>22</s:v>
      </s:c>
      <s:c r="B20" s="4">
        <s:f>COUNTIF(Задачи!$D:$D, A20)</s:f>
        <s:v>2</s:v>
      </s:c>
    </s:row>
  </s:sheetData>
  <s:mergeCells count="9">
    <s:mergeCell ref="A4:B4"/>
    <s:mergeCell ref="A1:D1"/>
    <s:mergeCell ref="E4:F4"/>
    <s:mergeCell ref="G4:H4"/>
    <s:mergeCell ref="C3:D3"/>
    <s:mergeCell ref="A3:B3"/>
    <s:mergeCell ref="G3:H3"/>
    <s:mergeCell ref="E3:F3"/>
    <s:mergeCell ref="C4:D4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dimension ref="A1:D7"/>
  <s:sheetViews>
    <s:sheetView tabSelected="0" workbookViewId="0"/>
  </s:sheetViews>
  <s:sheetFormatPr defaultColWidth="10" defaultRowHeight="14.4"/>
  <s:cols>
    <s:col min="1" max="1" width="24" customWidth="1"/>
    <s:col min="2" max="2" width="21" customWidth="1"/>
    <s:col min="3" max="3" width="29" customWidth="1"/>
    <s:col min="4" max="4" width="20" customWidth="1"/>
  </s:cols>
  <s:sheetData>
    <s:row r="1" spans="1:4" ht="16.8">
      <s:c r="A1" s="5" t="s">
        <s:v>23</s:v>
      </s:c>
      <s:c r="B1" s="5" t="s">
        <s:v>24</s:v>
      </s:c>
      <s:c r="C1" s="5" t="s">
        <s:v>25</s:v>
      </s:c>
      <s:c r="D1" s="5" t="s">
        <s:v>26</s:v>
      </s:c>
    </s:row>
    <s:row r="2" spans="1:4" ht="15">
      <s:c r="A2" s="6" t="s">
        <s:v>9</s:v>
      </s:c>
      <s:c r="B2" s="6" t="s">
        <s:v>18</s:v>
      </s:c>
      <s:c r="C2" s="6" t="s">
        <s:v>27</s:v>
      </s:c>
      <s:c r="D2" s="6" t="s">
        <s:v>8</s:v>
      </s:c>
    </s:row>
    <s:row r="3" spans="1:4" ht="15">
      <s:c r="A3" s="6" t="s">
        <s:v>10</s:v>
      </s:c>
      <s:c r="B3" s="6" t="s">
        <s:v>19</s:v>
      </s:c>
      <s:c r="C3" s="6" t="s">
        <s:v>28</s:v>
      </s:c>
      <s:c r="D3" s="6" t="s">
        <s:v>3</s:v>
      </s:c>
    </s:row>
    <s:row r="4" spans="1:4" ht="15">
      <s:c r="A4" s="6" t="s">
        <s:v>12</s:v>
      </s:c>
      <s:c r="B4" s="6" t="s">
        <s:v>20</s:v>
      </s:c>
      <s:c r="C4" s="6" t="s">
        <s:v>29</s:v>
      </s:c>
      <s:c r="D4" s="6" t="s">
        <s:v>11</s:v>
      </s:c>
    </s:row>
    <s:row r="5" spans="1:4" ht="15">
      <s:c r="A5" s="6" t="s">
        <s:v>13</s:v>
      </s:c>
      <s:c r="B5" s="6" t="s">
        <s:v>21</s:v>
      </s:c>
      <s:c r="C5" s="6" t="s">
        <s:v>30</s:v>
      </s:c>
      <s:c r="D5" s="6" t="s">
        <s:v>2</s:v>
      </s:c>
    </s:row>
    <s:row r="6" spans="1:4" ht="15">
      <s:c r="A6" s="6" t="s">
        <s:v>15</s:v>
      </s:c>
      <s:c r="B6" s="6" t="s">
        <s:v>22</s:v>
      </s:c>
      <s:c r="C6" s="6" t="s">
        <s:v>31</s:v>
      </s:c>
      <s:c r="D6" s="6" t="s">
        <s:v>14</s:v>
      </s:c>
    </s:row>
    <s:row r="7" spans="1:4" ht="15">
      <s:c r="A7" s="6" t="s">
        <s:v>16</s:v>
      </s:c>
      <s:c r="B7" s="6"/>
      <s:c r="C7" s="6" t="s">
        <s:v>32</s:v>
      </s:c>
      <s:c r="D7" s="6"/>
    </s:row>
  </s:sheetData>
  <s:pageMargins left="0.75" right="0.75" top="1" bottom="1" header="0.5" footer="0.5"/>
</s:worksheet>
</file>

<file path=xl/worksheets/sheet3.xml><?xml version="1.0" encoding="utf-8"?>
<s:worksheet xmlns:mc="http://schemas.openxmlformats.org/markup-compatibility/2006" xmlns:vyd="http://volga.yandex.com/schemas/document/model" xmlns:s="http://schemas.openxmlformats.org/spreadsheetml/2006/main" xmlns:x14ac="http://schemas.microsoft.com/office/spreadsheetml/2009/9/ac" mc:Ignorable="x14ac">
  <s:dimension ref="A1:G15"/>
  <s:sheetViews>
    <s:sheetView tabSelected="0" workbookViewId="0">
      <s:pane ySplit="1" topLeftCell="A2" activePane="bottomLeft" state="frozen"/>
      <s:selection pane="bottomLeft" activeCell="A16" sqref="A16"/>
    </s:sheetView>
  </s:sheetViews>
  <s:sheetFormatPr defaultColWidth="10" defaultRowHeight="14.4"/>
  <s:cols>
    <s:col min="1" max="1" width="12" customWidth="1"/>
    <s:col min="2" max="2" width="39" customWidth="1"/>
    <s:col min="3" max="3" width="16" customWidth="1"/>
    <s:col min="4" max="4" width="20" customWidth="1"/>
    <s:col min="5" max="5" width="22" customWidth="1"/>
    <s:col min="6" max="6" width="16" customWidth="1"/>
    <s:col min="7" max="7" width="14" customWidth="1"/>
  </s:cols>
  <s:sheetData>
    <s:row r="1" spans="1:7" ht="16.8">
      <s:c r="A1" s="7" t="s">
        <s:v>33</s:v>
      </s:c>
      <s:c r="B1" s="7" t="s">
        <s:v>34</s:v>
      </s:c>
      <s:c r="C1" s="7" t="s">
        <s:v>35</s:v>
      </s:c>
      <s:c r="D1" s="7" t="s">
        <s:v>36</s:v>
      </s:c>
      <s:c r="E1" s="7" t="s">
        <s:v>37</s:v>
      </s:c>
      <s:c r="F1" s="7" t="s">
        <s:v>38</s:v>
      </s:c>
      <s:c r="G1" s="19" t="s">
        <s:v>39</s:v>
      </s:c>
    </s:row>
    <s:row r="2" spans="1:7" ht="15">
      <s:c r="A2" s="8">
        <s:v>1</s:v>
      </s:c>
      <s:c r="B2" s="9" t="s">
        <s:v>40</s:v>
      </s:c>
      <s:c r="C2" s="9" t="s">
        <s:v>9</s:v>
      </s:c>
      <s:c r="D2" s="9" t="s">
        <s:v>18</s:v>
      </s:c>
      <s:c r="E2" s="9" t="s">
        <s:v>27</s:v>
      </s:c>
      <s:c r="F2" s="9" t="s">
        <s:v>2</s:v>
      </s:c>
      <s:c r="G2" s="12">
        <s:v>46280</s:v>
      </s:c>
    </s:row>
    <s:row r="3" spans="1:7" ht="15">
      <s:c r="A3" s="10">
        <s:v>2</s:v>
      </s:c>
      <s:c r="B3" s="11" t="s">
        <s:v>41</s:v>
      </s:c>
      <s:c r="C3" s="11" t="s">
        <s:v>12</s:v>
      </s:c>
      <s:c r="D3" s="11" t="s">
        <s:v>19</s:v>
      </s:c>
      <s:c r="E3" s="11" t="s">
        <s:v>29</s:v>
      </s:c>
      <s:c r="F3" s="11" t="s">
        <s:v>2</s:v>
      </s:c>
      <s:c r="G3" s="13">
        <s:v>46283</s:v>
      </s:c>
    </s:row>
    <s:row r="4" spans="1:7" ht="15.75">
      <s:c r="A4" s="8">
        <s:v>3</s:v>
      </s:c>
      <s:c r="B4" s="9" t="s">
        <s:v>42</s:v>
      </s:c>
      <s:c r="C4" s="9" t="s">
        <s:v>10</s:v>
      </s:c>
      <s:c r="D4" s="9" t="s">
        <s:v>21</s:v>
      </s:c>
      <s:c r="E4" s="9" t="s">
        <s:v>28</s:v>
      </s:c>
      <s:c r="F4" s="9" t="s">
        <s:v>3</s:v>
      </s:c>
      <s:c r="G4" s="12">
        <s:v>46305</s:v>
      </s:c>
    </s:row>
    <s:row r="5" spans="1:7" ht="15">
      <s:c r="A5" s="10">
        <s:v>4</s:v>
      </s:c>
      <s:c r="B5" s="11" t="s">
        <s:v>43</s:v>
      </s:c>
      <s:c r="C5" s="11" t="s">
        <s:v>16</s:v>
      </s:c>
      <s:c r="D5" s="11" t="s">
        <s:v>22</s:v>
      </s:c>
      <s:c r="E5" s="11" t="s">
        <s:v>30</s:v>
      </s:c>
      <s:c r="F5" s="11" t="s">
        <s:v>8</s:v>
      </s:c>
      <s:c r="G5" s="13">
        <s:v>46310</s:v>
      </s:c>
    </s:row>
    <s:row r="6" spans="1:7" ht="15.75">
      <s:c r="A6" s="8">
        <s:v>5</s:v>
      </s:c>
      <s:c r="B6" s="9" t="s">
        <s:v>44</s:v>
      </s:c>
      <s:c r="C6" s="9" t="s">
        <s:v>12</s:v>
      </s:c>
      <s:c r="D6" s="9" t="s">
        <s:v>20</s:v>
      </s:c>
      <s:c r="E6" s="9" t="s">
        <s:v>29</s:v>
      </s:c>
      <s:c r="F6" s="9" t="s">
        <s:v>3</s:v>
      </s:c>
      <s:c r="G6" s="12">
        <s:v>46307</s:v>
      </s:c>
    </s:row>
    <s:row r="7" spans="1:7" ht="15.75">
      <s:c r="A7" s="10">
        <s:v>6</s:v>
      </s:c>
      <s:c r="B7" s="11" t="s">
        <s:v>45</s:v>
      </s:c>
      <s:c r="C7" s="11" t="s">
        <s:v>9</s:v>
      </s:c>
      <s:c r="D7" s="11" t="s">
        <s:v>18</s:v>
      </s:c>
      <s:c r="E7" s="11" t="s">
        <s:v>27</s:v>
      </s:c>
      <s:c r="F7" s="11" t="s">
        <s:v>11</s:v>
      </s:c>
      <s:c r="G7" s="13">
        <s:v>46297</s:v>
      </s:c>
    </s:row>
    <s:row r="8" spans="1:7" ht="15">
      <s:c r="A8" s="8">
        <s:v>7</s:v>
      </s:c>
      <s:c r="B8" s="9" t="s">
        <s:v>46</s:v>
      </s:c>
      <s:c r="C8" s="9" t="s">
        <s:v>13</s:v>
      </s:c>
      <s:c r="D8" s="9" t="s">
        <s:v>18</s:v>
      </s:c>
      <s:c r="E8" s="9" t="s">
        <s:v>31</s:v>
      </s:c>
      <s:c r="F8" s="9" t="s">
        <s:v>2</s:v>
      </s:c>
      <s:c r="G8" s="12">
        <s:v>46275</s:v>
      </s:c>
    </s:row>
    <s:row r="9" spans="1:7" ht="15.75">
      <s:c r="A9" s="10">
        <s:v>8</s:v>
      </s:c>
      <s:c r="B9" s="11" t="s">
        <s:v>47</s:v>
      </s:c>
      <s:c r="C9" s="11" t="s">
        <s:v>16</s:v>
      </s:c>
      <s:c r="D9" s="11" t="s">
        <s:v>19</s:v>
      </s:c>
      <s:c r="E9" s="11" t="s">
        <s:v>30</s:v>
      </s:c>
      <s:c r="F9" s="11" t="s">
        <s:v>3</s:v>
      </s:c>
      <s:c r="G9" s="13">
        <s:v>46303</s:v>
      </s:c>
    </s:row>
    <s:row r="10" spans="1:7" ht="15.75">
      <s:c r="A10" s="8">
        <s:v>9</s:v>
      </s:c>
      <s:c r="B10" s="9" t="s">
        <s:v>48</s:v>
      </s:c>
      <s:c r="C10" s="9" t="s">
        <s:v>15</s:v>
      </s:c>
      <s:c r="D10" s="9" t="s">
        <s:v>19</s:v>
      </s:c>
      <s:c r="E10" s="9" t="s">
        <s:v>32</s:v>
      </s:c>
      <s:c r="F10" s="9" t="s">
        <s:v>8</s:v>
      </s:c>
      <s:c r="G10" s="12">
        <s:v>46313</s:v>
      </s:c>
    </s:row>
    <s:row r="11" spans="1:7" ht="15.75">
      <s:c r="A11" s="10">
        <s:v>10</s:v>
      </s:c>
      <s:c r="B11" s="11" t="s">
        <s:v>49</s:v>
      </s:c>
      <s:c r="C11" s="11" t="s">
        <s:v>10</s:v>
      </s:c>
      <s:c r="D11" s="11" t="s">
        <s:v>21</s:v>
      </s:c>
      <s:c r="E11" s="11" t="s">
        <s:v>29</s:v>
      </s:c>
      <s:c r="F11" s="11" t="s">
        <s:v>11</s:v>
      </s:c>
      <s:c r="G11" s="13">
        <s:v>46298</s:v>
      </s:c>
    </s:row>
    <s:row r="12" spans="1:7" ht="15.75">
      <s:c r="A12" s="8">
        <s:v>11</s:v>
      </s:c>
      <s:c r="B12" s="9" t="s">
        <s:v>50</s:v>
      </s:c>
      <s:c r="C12" s="9" t="s">
        <s:v>15</s:v>
      </s:c>
      <s:c r="D12" s="9" t="s">
        <s:v>18</s:v>
      </s:c>
      <s:c r="E12" s="9" t="s">
        <s:v>32</s:v>
      </s:c>
      <s:c r="F12" s="9" t="s">
        <s:v>8</s:v>
      </s:c>
      <s:c r="G12" s="12">
        <s:v>46315</s:v>
      </s:c>
    </s:row>
    <s:row r="13" spans="1:7" ht="15">
      <s:c r="A13" s="10">
        <s:v>12</s:v>
      </s:c>
      <s:c r="B13" s="11" t="s">
        <s:v>51</s:v>
      </s:c>
      <s:c r="C13" s="11" t="s">
        <s:v>13</s:v>
      </s:c>
      <s:c r="D13" s="11" t="s">
        <s:v>21</s:v>
      </s:c>
      <s:c r="E13" s="11" t="s">
        <s:v>31</s:v>
      </s:c>
      <s:c r="F13" s="11" t="s">
        <s:v>2</s:v>
      </s:c>
      <s:c r="G13" s="13">
        <s:v>46270</s:v>
      </s:c>
    </s:row>
    <s:row r="14" spans="1:7" ht="15.75">
      <s:c r="A14" s="8">
        <s:v>13</s:v>
      </s:c>
      <s:c r="B14" s="9" t="s">
        <s:v>52</s:v>
      </s:c>
      <s:c r="C14" s="9" t="s">
        <s:v>9</s:v>
      </s:c>
      <s:c r="D14" s="9" t="s">
        <s:v>20</s:v>
      </s:c>
      <s:c r="E14" s="9" t="s">
        <s:v>27</s:v>
      </s:c>
      <s:c r="F14" s="9" t="s">
        <s:v>3</s:v>
      </s:c>
      <s:c r="G14" s="12">
        <s:v>46301</s:v>
      </s:c>
    </s:row>
    <s:row r="15" spans="1:7" ht="15.75">
      <s:c r="A15" s="10">
        <s:v>14</s:v>
      </s:c>
      <s:c r="B15" s="11" t="s">
        <s:v>53</s:v>
      </s:c>
      <s:c r="C15" s="11" t="s">
        <s:v>16</s:v>
      </s:c>
      <s:c r="D15" s="11" t="s">
        <s:v>22</s:v>
      </s:c>
      <s:c r="E15" s="11" t="s">
        <s:v>30</s:v>
      </s:c>
      <s:c r="F15" s="11" t="s">
        <s:v>8</s:v>
      </s:c>
      <s:c r="G15" s="13">
        <s:v>46304</s:v>
      </s:c>
    </s:row>
  </s:sheetData>
  <s:autoFilter ref="A1:G15"/>
  <s:conditionalFormatting sqref="G2:G199">
    <s:cfRule type="expression" dxfId="1" priority="1">
      <s:formula>AND(ISNUMBER($G2), $G2&lt;TODAY(), $F2&lt;&gt;"Выполнено")</s:formula>
    </s:cfRule>
  </s:conditionalFormatting>
  <s:conditionalFormatting sqref="F2:F199">
    <s:cfRule type="expression" dxfId="0" priority="2">
      <s:formula>$F2="Выполнено"</s:formula>
    </s:cfRule>
  </s:conditionalFormatting>
  <s:dataValidations count="4">
    <s:dataValidation type="list" sqref="C2:C199" vyd:viewType="arrow" mc:Ignorable="vyd">
      <s:formula1>Справочники!$A$2:$A$7</s:formula1>
    </s:dataValidation>
    <s:dataValidation type="list" sqref="D2:D199" vyd:viewType="arrow" mc:Ignorable="vyd">
      <s:formula1>Справочники!$B$2:$B$6</s:formula1>
    </s:dataValidation>
    <s:dataValidation type="list" sqref="E2:E199" vyd:viewType="arrow" mc:Ignorable="vyd">
      <s:formula1>Справочники!$C$2:$C$7</s:formula1>
    </s:dataValidation>
    <s:dataValidation type="list" sqref="F2:F199" vyd:viewType="arrow" mc:Ignorable="vyd">
      <s:formula1>Справочники!$D$2:$D$6</s:formula1>
    </s:dataValidation>
  </s:dataValidations>
  <s:pageMargins left="0.75" right="0.75" top="1" bottom="1" header="0.5" footer="0.5"/>
  <s:extLst>
    <s:ext uri="{CCE6A557-97BC-4b89-ADB6-D9C93CAAB3DF}"/>
  </s:extLst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3</vt:i4>
      </vt:variant>
    </vt:vector>
  </ep:HeadingPairs>
  <ep:TitlesOfParts>
    <vt:vector size="3" baseType="lpstr">
      <vt:lpstr>Сводка</vt:lpstr>
      <vt:lpstr>Справочники</vt:lpstr>
      <vt:lpstr>Задачи</vt:lpstr>
    </vt:vector>
  </ep:TitlesOfParts>
  <ep:LinksUpToDate>false</ep:LinksUpToDate>
  <ep:SharedDoc>false</ep:SharedDoc>
  <ep:HyperlinksChanged>false</ep:HyperlinksChanged>
  <ep:AppVersion>15.0300</ep:AppVersion>
</ep:Properties>
</file>

<file path=docProps/core.xml><?xml version="1.0" encoding="utf-8"?>
<cp:coreProperties xmlns:xsi="http://www.w3.org/2001/XMLSchema-instance" xmlns:dc="http://purl.org/dc/elements/1.1/" xmlns:dcterms="http://purl.org/dc/terms/" xmlns:cp="http://schemas.openxmlformats.org/package/2006/metadata/core-properties">
  <dc:creator>openpyxl</dc:creator>
  <cp:lastModifiedBy>Evgeniy</cp:lastModifiedBy>
  <dcterms:created xsi:type="dcterms:W3CDTF">2026-09-20T19:24:43Z</dcterms:created>
  <dcterms:modified xsi:type="dcterms:W3CDTF">2026-09-21T00:52:02Z</dcterms:modified>
</cp:coreProperties>
</file>